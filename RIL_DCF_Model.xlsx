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daipayan/Documents/"/>
    </mc:Choice>
  </mc:AlternateContent>
  <xr:revisionPtr revIDLastSave="0" documentId="8_{B383620A-E9B9-F648-BC22-C43A082EE85D}" xr6:coauthVersionLast="47" xr6:coauthVersionMax="47" xr10:uidLastSave="{00000000-0000-0000-0000-000000000000}"/>
  <bookViews>
    <workbookView xWindow="0" yWindow="600" windowWidth="28160" windowHeight="15720" tabRatio="500" activeTab="4" xr2:uid="{00000000-000D-0000-FFFF-FFFF00000000}"/>
  </bookViews>
  <sheets>
    <sheet name="Historical Financials" sheetId="1" r:id="rId1"/>
    <sheet name="Assumptions" sheetId="2" r:id="rId2"/>
    <sheet name="DCF Valuation" sheetId="3" r:id="rId3"/>
    <sheet name="Comps" sheetId="4" r:id="rId4"/>
    <sheet name="Sensitivit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2" i="4" l="1"/>
  <c r="F12" i="4"/>
  <c r="E12" i="4"/>
  <c r="D12" i="4"/>
  <c r="C12" i="4"/>
  <c r="B12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I12" i="4" s="1"/>
  <c r="H6" i="4"/>
  <c r="H12" i="4" s="1"/>
  <c r="G6" i="4"/>
  <c r="G12" i="4" s="1"/>
  <c r="I5" i="4"/>
  <c r="H5" i="4"/>
  <c r="G5" i="4"/>
  <c r="B38" i="3"/>
  <c r="B36" i="3"/>
  <c r="B34" i="3"/>
  <c r="B26" i="3"/>
  <c r="B14" i="3"/>
  <c r="B13" i="3"/>
  <c r="B11" i="3"/>
  <c r="B12" i="3" s="1"/>
  <c r="G9" i="3"/>
  <c r="F9" i="3"/>
  <c r="E9" i="3"/>
  <c r="D9" i="3"/>
  <c r="C9" i="3"/>
  <c r="B9" i="3"/>
  <c r="G7" i="3"/>
  <c r="F7" i="3"/>
  <c r="E7" i="3"/>
  <c r="D7" i="3"/>
  <c r="C7" i="3"/>
  <c r="C6" i="3"/>
  <c r="B14" i="2"/>
  <c r="B11" i="2"/>
  <c r="B8" i="2"/>
  <c r="K18" i="1"/>
  <c r="J18" i="1"/>
  <c r="I18" i="1"/>
  <c r="H18" i="1"/>
  <c r="G18" i="1"/>
  <c r="F18" i="1"/>
  <c r="E18" i="1"/>
  <c r="D18" i="1"/>
  <c r="C18" i="1"/>
  <c r="B18" i="1"/>
  <c r="K12" i="1"/>
  <c r="J12" i="1"/>
  <c r="I12" i="1"/>
  <c r="H12" i="1"/>
  <c r="G12" i="1"/>
  <c r="F12" i="1"/>
  <c r="E12" i="1"/>
  <c r="D12" i="1"/>
  <c r="C12" i="1"/>
  <c r="B12" i="1"/>
  <c r="K9" i="1"/>
  <c r="J9" i="1"/>
  <c r="I9" i="1"/>
  <c r="H9" i="1"/>
  <c r="G9" i="1"/>
  <c r="F9" i="1"/>
  <c r="E9" i="1"/>
  <c r="D9" i="1"/>
  <c r="C9" i="1"/>
  <c r="B9" i="1"/>
  <c r="K7" i="1"/>
  <c r="J7" i="1"/>
  <c r="I7" i="1"/>
  <c r="H7" i="1"/>
  <c r="G7" i="1"/>
  <c r="F7" i="1"/>
  <c r="E7" i="1"/>
  <c r="D7" i="1"/>
  <c r="C7" i="1"/>
  <c r="C15" i="3" l="1"/>
  <c r="C10" i="3"/>
  <c r="C14" i="3" s="1"/>
  <c r="C8" i="3"/>
  <c r="C11" i="3" s="1"/>
  <c r="D6" i="3"/>
  <c r="B16" i="2"/>
  <c r="B15" i="2"/>
  <c r="B17" i="2" s="1"/>
  <c r="C12" i="3" l="1"/>
  <c r="C13" i="3"/>
  <c r="C16" i="3" s="1"/>
  <c r="C21" i="3" s="1"/>
  <c r="E6" i="3"/>
  <c r="D8" i="3"/>
  <c r="D11" i="3" s="1"/>
  <c r="D10" i="3"/>
  <c r="D14" i="3" s="1"/>
  <c r="D15" i="3"/>
  <c r="C20" i="3"/>
  <c r="D20" i="3"/>
  <c r="E20" i="3"/>
  <c r="F20" i="3"/>
  <c r="G20" i="3"/>
  <c r="B27" i="3"/>
  <c r="B29" i="3"/>
  <c r="F6" i="3" l="1"/>
  <c r="E8" i="3"/>
  <c r="E10" i="3"/>
  <c r="E14" i="3" s="1"/>
  <c r="E15" i="3"/>
  <c r="D12" i="3"/>
  <c r="D13" i="3"/>
  <c r="D16" i="3" s="1"/>
  <c r="D21" i="3" s="1"/>
  <c r="G6" i="3" l="1"/>
  <c r="F8" i="3"/>
  <c r="F11" i="3" s="1"/>
  <c r="F10" i="3"/>
  <c r="F14" i="3" s="1"/>
  <c r="F15" i="3"/>
  <c r="E11" i="3"/>
  <c r="G8" i="3" l="1"/>
  <c r="G10" i="3"/>
  <c r="G14" i="3" s="1"/>
  <c r="G15" i="3"/>
  <c r="F12" i="3"/>
  <c r="F13" i="3"/>
  <c r="F16" i="3" s="1"/>
  <c r="F21" i="3" s="1"/>
  <c r="E13" i="3"/>
  <c r="E16" i="3" s="1"/>
  <c r="E21" i="3" s="1"/>
  <c r="E12" i="3"/>
  <c r="G11" i="3" l="1"/>
  <c r="G13" i="3" l="1"/>
  <c r="G16" i="3" s="1"/>
  <c r="G12" i="3"/>
  <c r="G21" i="3" l="1"/>
  <c r="B22" i="3" s="1"/>
  <c r="B33" i="3" s="1"/>
  <c r="B35" i="3" s="1"/>
  <c r="B37" i="3" s="1"/>
  <c r="B39" i="3" s="1"/>
  <c r="B25" i="3"/>
  <c r="B28" i="3" s="1"/>
  <c r="B30" i="3" s="1"/>
</calcChain>
</file>

<file path=xl/sharedStrings.xml><?xml version="1.0" encoding="utf-8"?>
<sst xmlns="http://schemas.openxmlformats.org/spreadsheetml/2006/main" count="201" uniqueCount="167">
  <si>
    <t>RELIANCE INDUSTRIES LTD  |  Historical Financials (Consolidated)  |  ₹ Crores</t>
  </si>
  <si>
    <t>Source: Screener.in  |  FY2017–FY2026  |  All figures in ₹ Crores unless stated</t>
  </si>
  <si>
    <t>PROFIT &amp; LOSS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</si>
  <si>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</si>
  <si>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</si>
  <si>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</si>
  <si>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</si>
  <si>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</si>
  <si>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</si>
  <si>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</si>
  <si>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</si>
  <si>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</si>
  <si>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</si>
  <si>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Revenue (₹ Cr)</t>
  </si>
  <si>
    <t>YoY Growth (%)</t>
  </si>
  <si>
    <t>-</t>
  </si>
  <si>
    <t>EBITDA (₹ Cr)</t>
  </si>
  <si>
    <t>EBITDA Margin (%)</t>
  </si>
  <si>
    <t>Depreciation &amp; Amortisation</t>
  </si>
  <si>
    <t>EBIT (₹ Cr)</t>
  </si>
  <si>
    <t>EBIT Margin (%)</t>
  </si>
  <si>
    <t>Interest Expense</t>
  </si>
  <si>
    <t>Other Income</t>
  </si>
  <si>
    <t>Profit Before Tax</t>
  </si>
  <si>
    <t>Tax</t>
  </si>
  <si>
    <t>PAT / Net Profit (₹ Cr)</t>
  </si>
  <si>
    <t>PAT Margin (%)</t>
  </si>
  <si>
    <t>EPS (₹)</t>
  </si>
  <si>
    <t>BALANCE SHEET</t>
  </si>
  <si>
    <t>Equity Share Capital</t>
  </si>
  <si>
    <t>Reserves &amp; Surplus</t>
  </si>
  <si>
    <t>Total Equity</t>
  </si>
  <si>
    <t>Borrowings (Debt)</t>
  </si>
  <si>
    <t>Net Debt (Debt − Cash)</t>
  </si>
  <si>
    <t>Net Fixed Assets (Net Block + CWIP)</t>
  </si>
  <si>
    <t>Cash &amp; Bank Balances</t>
  </si>
  <si>
    <t>CASH FLOW STATEMENT</t>
  </si>
  <si>
    <t>Cash from Operations (CFO)</t>
  </si>
  <si>
    <t>Cash from Investing (CFI)</t>
  </si>
  <si>
    <t>Cash from Financing (CFF)</t>
  </si>
  <si>
    <t>Free Cash Flow (CFO + CFI)</t>
  </si>
  <si>
    <t>KEY METRICS &amp; RATIOS</t>
  </si>
  <si>
    <t>Return on Equity – ROE (%)</t>
  </si>
  <si>
    <t>Return on Capital Employed – ROCE (%)</t>
  </si>
  <si>
    <t>Net Debt / EBITDA (x)</t>
  </si>
  <si>
    <t>Net Profit Margin (%)</t>
  </si>
  <si>
    <t>RELIANCE INDUSTRIES LTD  |  Model Assumptions  |  ₹ Crores</t>
  </si>
  <si>
    <t>WACC INPUTS</t>
  </si>
  <si>
    <t>Risk-Free Rate (10Y G-Sec Yield)</t>
  </si>
  <si>
    <t>Source: RBI, approx 10Y G-Sec yield</t>
  </si>
  <si>
    <t>Equity Beta</t>
  </si>
  <si>
    <t>Source: NSE historical 5Y beta</t>
  </si>
  <si>
    <t>Equity Risk Premium – ERP</t>
  </si>
  <si>
    <t>Damodaran India ERP estimate</t>
  </si>
  <si>
    <t>Cost of Equity [Ke = Rf + β × ERP]</t>
  </si>
  <si>
    <t>Cost of Debt (Pre-Tax)</t>
  </si>
  <si>
    <t>Estimated from interest / avg debt</t>
  </si>
  <si>
    <t>Effective Tax Rate</t>
  </si>
  <si>
    <t>Estimated based on FY26 PAT/PBT</t>
  </si>
  <si>
    <t>Cost of Debt (Post-Tax) [Kd × (1−t)]</t>
  </si>
  <si>
    <t>Market Capitalisation (₹ Cr)</t>
  </si>
  <si>
    <t>Source: Screener.in, Jun 2025</t>
  </si>
  <si>
    <t>Total Debt (₹ Cr)</t>
  </si>
  <si>
    <t>Source: FY2026 Balance Sheet</t>
  </si>
  <si>
    <t>Total Capital [MktCap + Debt]</t>
  </si>
  <si>
    <t>Weight of Equity [MktCap / Total]</t>
  </si>
  <si>
    <t>Weight of Debt [Debt / Total]</t>
  </si>
  <si>
    <t>WACC [Ke×We + Kd×Wd]</t>
  </si>
  <si>
    <t>REVENUE &amp; MARGIN ASSUMPTIONS (FY27–FY31)</t>
  </si>
  <si>
    <t>Assumption</t>
  </si>
  <si>
    <t>FY2027</t>
  </si>
  <si>
    <t>FY2028</t>
  </si>
  <si>
    <t>FY2029</t>
  </si>
  <si>
    <t>FY2030</t>
  </si>
  <si>
    <t>FY2031</t>
  </si>
  <si>
    <t>Revenue Growth (%)</t>
  </si>
  <si>
    <t>D&amp;A as % of Revenue</t>
  </si>
  <si>
    <t>Capex as % of Revenue</t>
  </si>
  <si>
    <t>TERMINAL VALUE ASSUMPTIONS</t>
  </si>
  <si>
    <t>Terminal Growth Rate (g)</t>
  </si>
  <si>
    <t>Approx. India nominal LT GDP growth</t>
  </si>
  <si>
    <t>Shares Outstanding (Cr)</t>
  </si>
  <si>
    <t>Source: Screener.in, adjusted shares</t>
  </si>
  <si>
    <t>Current Market Price (₹)</t>
  </si>
  <si>
    <t>Source: NSE/BSE, Jun 2025</t>
  </si>
  <si>
    <t>Net Debt – FY2026 (₹ Cr)</t>
  </si>
  <si>
    <t>Borrowings 402,962 − Cash 145,977</t>
  </si>
  <si>
    <t>RELIANCE INDUSTRIES LTD  |  DCF Valuation  |  ₹ Crores  |  5-Year Explicit Forecast (FY27–FY31)</t>
  </si>
  <si>
    <t>⚫ Formulas pull from Assumptions sheet  |  FCFF-based DCF  |  Year-end discounting</t>
  </si>
  <si>
    <t>PROJECTED P&amp;L</t>
  </si>
  <si>
    <t>FY2026A</t>
  </si>
  <si>
    <t>FY2027E</t>
  </si>
  <si>
    <t>FY2028E</t>
  </si>
  <si>
    <t>FY2029E</t>
  </si>
  <si>
    <t>FY2030E</t>
  </si>
  <si>
    <t>FY2031E</t>
  </si>
  <si>
    <t>Revenue</t>
  </si>
  <si>
    <t xml:space="preserve">  YoY Revenue Growth (%)</t>
  </si>
  <si>
    <t>EBITDA</t>
  </si>
  <si>
    <t xml:space="preserve">  EBITDA Margin (%)</t>
  </si>
  <si>
    <t>Depreciation &amp; Amortisation (D&amp;A)</t>
  </si>
  <si>
    <t>EBIT (Operating Profit)</t>
  </si>
  <si>
    <t xml:space="preserve">  EBIT Margin (%)</t>
  </si>
  <si>
    <t>NOPAT  [EBIT × (1 − Tax Rate)]</t>
  </si>
  <si>
    <t xml:space="preserve">  Add: D&amp;A</t>
  </si>
  <si>
    <t xml:space="preserve">  Less: Capital Expenditure (Capex)</t>
  </si>
  <si>
    <t>FREE CASH FLOW TO FIRM (FCFF)</t>
  </si>
  <si>
    <t>DISCOUNTING  (Year-End Convention)</t>
  </si>
  <si>
    <t>Discount Period (years)</t>
  </si>
  <si>
    <t>Discount Factor  [1 / (1+WACC)^n]</t>
  </si>
  <si>
    <t>PV of FCFF</t>
  </si>
  <si>
    <t>Sum of PV of FCFFs (A)</t>
  </si>
  <si>
    <t>TERMINAL VALUE</t>
  </si>
  <si>
    <t>Terminal Year FCFF (FY31)</t>
  </si>
  <si>
    <t>WACC</t>
  </si>
  <si>
    <t>Terminal Value  [FCFF × (1+g) / (WACC − g)]</t>
  </si>
  <si>
    <t>Terminal Value Discount Factor  [1/(1+WACC)^5]</t>
  </si>
  <si>
    <t>PV of Terminal Value (B)</t>
  </si>
  <si>
    <t>EQUITY VALUE BRIDGE</t>
  </si>
  <si>
    <t>Enterprise Value  [A + B]</t>
  </si>
  <si>
    <t xml:space="preserve">  Less: Net Debt (FY2026)</t>
  </si>
  <si>
    <t>Equity Value</t>
  </si>
  <si>
    <t>IMPLIED PRICE PER SHARE (₹)</t>
  </si>
  <si>
    <t>Upside / (Downside) vs Market Price (%)</t>
  </si>
  <si>
    <t>📌 NOTE: Reliance is a diversified conglomerate (O2C, Retail, Jio, New Energy). A single-entity FCFF DCF may undervalue it — a Sum-of-the-Parts (SOTP) model per segment would be the next step in a full analysis.</t>
  </si>
  <si>
    <t>RELIANCE INDUSTRIES LTD  |  Comparable Company Analysis (Comps)</t>
  </si>
  <si>
    <t>Source: NSE/BSE, Company Filings | All ₹ Cr | Fill in peer data from Screener.in</t>
  </si>
  <si>
    <t>Company</t>
  </si>
  <si>
    <t>Mkt Cap (₹Cr)</t>
  </si>
  <si>
    <t>EV (₹Cr)</t>
  </si>
  <si>
    <t>Revenue (₹Cr)</t>
  </si>
  <si>
    <t>EBITDA (₹Cr)</t>
  </si>
  <si>
    <t>PAT (₹Cr)</t>
  </si>
  <si>
    <t>P/E (x)</t>
  </si>
  <si>
    <t>EV/EBITDA (x)</t>
  </si>
  <si>
    <t>EV/Sales (x)</t>
  </si>
  <si>
    <t>ROE (%)</t>
  </si>
  <si>
    <t>Reliance Industries</t>
  </si>
  <si>
    <t>Adani Enterprises</t>
  </si>
  <si>
    <t>Tata Motors</t>
  </si>
  <si>
    <t>Larsen &amp; Toubro</t>
  </si>
  <si>
    <t>Bharti Airtel</t>
  </si>
  <si>
    <t>ITC</t>
  </si>
  <si>
    <t>Median (Peers)</t>
  </si>
  <si>
    <t>💡 HOW TO USE: Fill in the blue cells with peer data from Screener.in. EV = Mkt Cap + Total Debt − Cash. P/E = Mkt Cap / PAT. EV/EBITDA and EV/Sales compute automatically.</t>
  </si>
  <si>
    <t>RELIANCE INDUSTRIES LTD  |  Sensitivity Analysis  |  Implied Price per Share (₹)</t>
  </si>
  <si>
    <t>Rows: WACC  |  Columns: Terminal Growth Rate (g)  |  Base case highlighted in gold</t>
  </si>
  <si>
    <t>WACC \ g →</t>
  </si>
  <si>
    <t>30.0%</t>
  </si>
  <si>
    <t>35.0%</t>
  </si>
  <si>
    <t>40.0%</t>
  </si>
  <si>
    <t>45.0%</t>
  </si>
  <si>
    <t>50.0%</t>
  </si>
  <si>
    <t>55.0%</t>
  </si>
  <si>
    <t>60.0%</t>
  </si>
  <si>
    <t>65.0%</t>
  </si>
  <si>
    <t>70.0%</t>
  </si>
  <si>
    <t>90.0%</t>
  </si>
  <si>
    <t>95.0%</t>
  </si>
  <si>
    <t>100.0%</t>
  </si>
  <si>
    <t>105.0%</t>
  </si>
  <si>
    <t>110.0%</t>
  </si>
  <si>
    <t>115.0%</t>
  </si>
  <si>
    <t>120.0%</t>
  </si>
  <si>
    <t>125.0%</t>
  </si>
  <si>
    <t>130.0%</t>
  </si>
  <si>
    <t xml:space="preserve">  Base case: WACC = 11%, g = 5%.  Current market price: ₹1,309.5.  Light blue cells = implied price exceeds current market price (upside scenarios).  Gap vs market price reflects Reliance's embedded growth optionality (Jio, Retail, New Energy).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</si>
</sst>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;\(0.0%\);\-"/>
    <numFmt numFmtId="166" formatCode="#,##0.0;\(#,##0.0\);\-"/>
    <numFmt numFmtId="167" formatCode="0.0\x;\(0.0&quot;x)&quot;;\-"/>
    <numFmt numFmtId="168" formatCode="0.0000"/>
    <numFmt numFmtId="169" formatCode="0.0\x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i/>
      <sz val="8"/>
      <color rgb="FF59595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FF"/>
      <name val="Arial"/>
      <family val="2"/>
    </font>
    <font>
      <b/>
      <sz val="9"/>
      <color rgb="FF008000"/>
      <name val="Arial"/>
      <family val="2"/>
    </font>
    <font>
      <sz val="9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B8CCE4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6" fontId="5" fillId="2" borderId="1" xfId="0" applyNumberFormat="1" applyFont="1" applyFill="1" applyBorder="1" applyAlignment="1">
      <alignment horizontal="right" vertical="center"/>
    </xf>
    <xf numFmtId="166" fontId="8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9" fontId="4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9" fontId="4" fillId="5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showGridLines="0" zoomScaleNormal="100" workbookViewId="0">
      <selection sqref="A1:K1"/>
    </sheetView>
  </sheetViews>
  <sheetFormatPr baseColWidth="10" defaultColWidth="8.6640625" defaultRowHeight="15" x14ac:dyDescent="0.2"/>
  <cols>
    <col min="1" max="1" width="30" customWidth="1"/>
    <col min="2" max="12" width="11" customWidth="1"/>
  </cols>
  <sheetData>
    <row r="1" spans="1:11" ht="1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15" customHeight="1" x14ac:dyDescent="0.2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" customHeight="1" x14ac:dyDescent="0.2">
      <c r="A5" s="8"/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</row>
    <row r="6" spans="1:11" ht="15" customHeight="1" x14ac:dyDescent="0.2">
      <c r="A6" s="9" t="s">
        <v>13</v>
      </c>
      <c r="B6" s="10">
        <v>303954</v>
      </c>
      <c r="C6" s="10">
        <v>390823</v>
      </c>
      <c r="D6" s="10">
        <v>568337</v>
      </c>
      <c r="E6" s="10">
        <v>596679</v>
      </c>
      <c r="F6" s="10">
        <v>466307</v>
      </c>
      <c r="G6" s="10">
        <v>694673</v>
      </c>
      <c r="H6" s="10">
        <v>876396</v>
      </c>
      <c r="I6" s="10">
        <v>899041</v>
      </c>
      <c r="J6" s="10">
        <v>962820</v>
      </c>
      <c r="K6" s="10">
        <v>1055780</v>
      </c>
    </row>
    <row r="7" spans="1:11" ht="15" customHeight="1" x14ac:dyDescent="0.2">
      <c r="A7" s="9" t="s">
        <v>14</v>
      </c>
      <c r="B7" s="11" t="s">
        <v>15</v>
      </c>
      <c r="C7" s="12">
        <f t="shared" ref="C7:K7" si="0">(C6/B6)-1</f>
        <v>0.28579653500200686</v>
      </c>
      <c r="D7" s="12">
        <f t="shared" si="0"/>
        <v>0.45420561225925793</v>
      </c>
      <c r="E7" s="12">
        <f t="shared" si="0"/>
        <v>4.9868299969912266E-2</v>
      </c>
      <c r="F7" s="12">
        <f t="shared" si="0"/>
        <v>-0.21849604226057895</v>
      </c>
      <c r="G7" s="12">
        <f t="shared" si="0"/>
        <v>0.48973315862725619</v>
      </c>
      <c r="H7" s="12">
        <f t="shared" si="0"/>
        <v>0.26159502384575184</v>
      </c>
      <c r="I7" s="12">
        <f t="shared" si="0"/>
        <v>2.5838776078393799E-2</v>
      </c>
      <c r="J7" s="12">
        <f t="shared" si="0"/>
        <v>7.0941147289167006E-2</v>
      </c>
      <c r="K7" s="12">
        <f t="shared" si="0"/>
        <v>9.6549718535136275E-2</v>
      </c>
    </row>
    <row r="8" spans="1:11" ht="15" customHeight="1" x14ac:dyDescent="0.2">
      <c r="A8" s="9" t="s">
        <v>16</v>
      </c>
      <c r="B8" s="10">
        <v>46307</v>
      </c>
      <c r="C8" s="10">
        <v>64315</v>
      </c>
      <c r="D8" s="10">
        <v>84250</v>
      </c>
      <c r="E8" s="10">
        <v>89266</v>
      </c>
      <c r="F8" s="10">
        <v>80790</v>
      </c>
      <c r="G8" s="10">
        <v>108581</v>
      </c>
      <c r="H8" s="10">
        <v>142318</v>
      </c>
      <c r="I8" s="10">
        <v>162498</v>
      </c>
      <c r="J8" s="10">
        <v>165598</v>
      </c>
      <c r="K8" s="10">
        <v>179065</v>
      </c>
    </row>
    <row r="9" spans="1:11" ht="15" customHeight="1" x14ac:dyDescent="0.2">
      <c r="A9" s="9" t="s">
        <v>17</v>
      </c>
      <c r="B9" s="12">
        <f t="shared" ref="B9:K9" si="1">B8/B6</f>
        <v>0.15234871066016567</v>
      </c>
      <c r="C9" s="12">
        <f t="shared" si="1"/>
        <v>0.16456298631349742</v>
      </c>
      <c r="D9" s="12">
        <f t="shared" si="1"/>
        <v>0.14823951282425743</v>
      </c>
      <c r="E9" s="12">
        <f t="shared" si="1"/>
        <v>0.1496047288408005</v>
      </c>
      <c r="F9" s="12">
        <f t="shared" si="1"/>
        <v>0.17325495864312568</v>
      </c>
      <c r="G9" s="12">
        <f t="shared" si="1"/>
        <v>0.15630519683361813</v>
      </c>
      <c r="H9" s="12">
        <f t="shared" si="1"/>
        <v>0.16239006111392568</v>
      </c>
      <c r="I9" s="12">
        <f t="shared" si="1"/>
        <v>0.18074592816122959</v>
      </c>
      <c r="J9" s="12">
        <f t="shared" si="1"/>
        <v>0.17199268814524002</v>
      </c>
      <c r="K9" s="12">
        <f t="shared" si="1"/>
        <v>0.16960446305101443</v>
      </c>
    </row>
    <row r="10" spans="1:11" ht="15" customHeight="1" x14ac:dyDescent="0.2">
      <c r="A10" s="9" t="s">
        <v>18</v>
      </c>
      <c r="B10" s="10">
        <v>11646</v>
      </c>
      <c r="C10" s="10">
        <v>16706</v>
      </c>
      <c r="D10" s="10">
        <v>20934</v>
      </c>
      <c r="E10" s="10">
        <v>22203</v>
      </c>
      <c r="F10" s="10">
        <v>26572</v>
      </c>
      <c r="G10" s="10">
        <v>29782</v>
      </c>
      <c r="H10" s="10">
        <v>40303</v>
      </c>
      <c r="I10" s="10">
        <v>50832</v>
      </c>
      <c r="J10" s="10">
        <v>53136</v>
      </c>
      <c r="K10" s="10">
        <v>57688</v>
      </c>
    </row>
    <row r="11" spans="1:11" ht="15" customHeight="1" x14ac:dyDescent="0.2">
      <c r="A11" s="9" t="s">
        <v>19</v>
      </c>
      <c r="B11" s="10">
        <v>34661</v>
      </c>
      <c r="C11" s="10">
        <v>47609</v>
      </c>
      <c r="D11" s="10">
        <v>63316</v>
      </c>
      <c r="E11" s="10">
        <v>67063</v>
      </c>
      <c r="F11" s="10">
        <v>54218</v>
      </c>
      <c r="G11" s="10">
        <v>78799</v>
      </c>
      <c r="H11" s="10">
        <v>102015</v>
      </c>
      <c r="I11" s="10">
        <v>111666</v>
      </c>
      <c r="J11" s="10">
        <v>112462</v>
      </c>
      <c r="K11" s="10">
        <v>121377</v>
      </c>
    </row>
    <row r="12" spans="1:11" ht="15" customHeight="1" x14ac:dyDescent="0.2">
      <c r="A12" s="9" t="s">
        <v>20</v>
      </c>
      <c r="B12" s="12">
        <f t="shared" ref="B12:K12" si="2">B11/B6</f>
        <v>0.11403370246813663</v>
      </c>
      <c r="C12" s="12">
        <f t="shared" si="2"/>
        <v>0.12181729325039724</v>
      </c>
      <c r="D12" s="12">
        <f t="shared" si="2"/>
        <v>0.11140573286623957</v>
      </c>
      <c r="E12" s="12">
        <f t="shared" si="2"/>
        <v>0.11239376616237541</v>
      </c>
      <c r="F12" s="12">
        <f t="shared" si="2"/>
        <v>0.11627104032322054</v>
      </c>
      <c r="G12" s="12">
        <f t="shared" si="2"/>
        <v>0.11343322685637702</v>
      </c>
      <c r="H12" s="12">
        <f t="shared" si="2"/>
        <v>0.11640285898155628</v>
      </c>
      <c r="I12" s="12">
        <f t="shared" si="2"/>
        <v>0.12420568138716699</v>
      </c>
      <c r="J12" s="12">
        <f t="shared" si="2"/>
        <v>0.11680480255914917</v>
      </c>
      <c r="K12" s="12">
        <f t="shared" si="2"/>
        <v>0.11496429180321657</v>
      </c>
    </row>
    <row r="13" spans="1:11" ht="15" customHeight="1" x14ac:dyDescent="0.2">
      <c r="A13" s="9" t="s">
        <v>21</v>
      </c>
      <c r="B13" s="10">
        <v>3849</v>
      </c>
      <c r="C13" s="10">
        <v>8052</v>
      </c>
      <c r="D13" s="10">
        <v>16495</v>
      </c>
      <c r="E13" s="10">
        <v>22027</v>
      </c>
      <c r="F13" s="10">
        <v>21189</v>
      </c>
      <c r="G13" s="10">
        <v>14584</v>
      </c>
      <c r="H13" s="10">
        <v>19571</v>
      </c>
      <c r="I13" s="10">
        <v>23118</v>
      </c>
      <c r="J13" s="10">
        <v>24269</v>
      </c>
      <c r="K13" s="10">
        <v>27061</v>
      </c>
    </row>
    <row r="14" spans="1:11" ht="15" customHeight="1" x14ac:dyDescent="0.2">
      <c r="A14" s="9" t="s">
        <v>22</v>
      </c>
      <c r="B14" s="10">
        <v>9222</v>
      </c>
      <c r="C14" s="10">
        <v>9869</v>
      </c>
      <c r="D14" s="10">
        <v>8406</v>
      </c>
      <c r="E14" s="10">
        <v>8570</v>
      </c>
      <c r="F14" s="10">
        <v>22432</v>
      </c>
      <c r="G14" s="10">
        <v>19600</v>
      </c>
      <c r="H14" s="10">
        <v>12020</v>
      </c>
      <c r="I14" s="10">
        <v>15792</v>
      </c>
      <c r="J14" s="10">
        <v>17824</v>
      </c>
      <c r="K14" s="10">
        <v>28846</v>
      </c>
    </row>
    <row r="15" spans="1:11" ht="15" customHeight="1" x14ac:dyDescent="0.2">
      <c r="A15" s="9" t="s">
        <v>23</v>
      </c>
      <c r="B15" s="10">
        <v>40034</v>
      </c>
      <c r="C15" s="10">
        <v>49426</v>
      </c>
      <c r="D15" s="10">
        <v>55227</v>
      </c>
      <c r="E15" s="10">
        <v>53606</v>
      </c>
      <c r="F15" s="10">
        <v>55461</v>
      </c>
      <c r="G15" s="10">
        <v>83815</v>
      </c>
      <c r="H15" s="10">
        <v>94464</v>
      </c>
      <c r="I15" s="10">
        <v>104340</v>
      </c>
      <c r="J15" s="10">
        <v>106017</v>
      </c>
      <c r="K15" s="10">
        <v>123162</v>
      </c>
    </row>
    <row r="16" spans="1:11" ht="15" customHeight="1" x14ac:dyDescent="0.2">
      <c r="A16" s="9" t="s">
        <v>24</v>
      </c>
      <c r="B16" s="10">
        <v>10201</v>
      </c>
      <c r="C16" s="10">
        <v>13346</v>
      </c>
      <c r="D16" s="10">
        <v>15390</v>
      </c>
      <c r="E16" s="10">
        <v>13726</v>
      </c>
      <c r="F16" s="10">
        <v>1722</v>
      </c>
      <c r="G16" s="10">
        <v>15970</v>
      </c>
      <c r="H16" s="10">
        <v>20376</v>
      </c>
      <c r="I16" s="10">
        <v>25707</v>
      </c>
      <c r="J16" s="10">
        <v>25230</v>
      </c>
      <c r="K16" s="10">
        <v>27552</v>
      </c>
    </row>
    <row r="17" spans="1:11" ht="15" customHeight="1" x14ac:dyDescent="0.2">
      <c r="A17" s="13" t="s">
        <v>25</v>
      </c>
      <c r="B17" s="14">
        <v>29901</v>
      </c>
      <c r="C17" s="14">
        <v>36075</v>
      </c>
      <c r="D17" s="14">
        <v>39588</v>
      </c>
      <c r="E17" s="14">
        <v>39354</v>
      </c>
      <c r="F17" s="14">
        <v>49128</v>
      </c>
      <c r="G17" s="14">
        <v>60705</v>
      </c>
      <c r="H17" s="14">
        <v>66702</v>
      </c>
      <c r="I17" s="14">
        <v>69621</v>
      </c>
      <c r="J17" s="14">
        <v>69648</v>
      </c>
      <c r="K17" s="14">
        <v>80775</v>
      </c>
    </row>
    <row r="18" spans="1:11" ht="15" customHeight="1" x14ac:dyDescent="0.2">
      <c r="A18" s="9" t="s">
        <v>26</v>
      </c>
      <c r="B18" s="12">
        <f t="shared" ref="B18:K18" si="3">B17/B6</f>
        <v>9.837343808602618E-2</v>
      </c>
      <c r="C18" s="12">
        <f t="shared" si="3"/>
        <v>9.2305212333972153E-2</v>
      </c>
      <c r="D18" s="12">
        <f t="shared" si="3"/>
        <v>6.9655855592720514E-2</v>
      </c>
      <c r="E18" s="12">
        <f t="shared" si="3"/>
        <v>6.5955061264096781E-2</v>
      </c>
      <c r="F18" s="12">
        <f t="shared" si="3"/>
        <v>0.10535548469141574</v>
      </c>
      <c r="G18" s="12">
        <f t="shared" si="3"/>
        <v>8.7386439375072872E-2</v>
      </c>
      <c r="H18" s="12">
        <f t="shared" si="3"/>
        <v>7.6109429983705998E-2</v>
      </c>
      <c r="I18" s="12">
        <f t="shared" si="3"/>
        <v>7.7439182417709543E-2</v>
      </c>
      <c r="J18" s="12">
        <f t="shared" si="3"/>
        <v>7.2337508568579803E-2</v>
      </c>
      <c r="K18" s="12">
        <f t="shared" si="3"/>
        <v>7.6507416317793481E-2</v>
      </c>
    </row>
    <row r="19" spans="1:11" ht="15" customHeight="1" x14ac:dyDescent="0.2">
      <c r="A19" s="9" t="s">
        <v>27</v>
      </c>
      <c r="B19" s="15">
        <v>22.1</v>
      </c>
      <c r="C19" s="15">
        <v>26.66</v>
      </c>
      <c r="D19" s="15">
        <v>29.25</v>
      </c>
      <c r="E19" s="15">
        <v>29.08</v>
      </c>
      <c r="F19" s="15">
        <v>36.299999999999997</v>
      </c>
      <c r="G19" s="15">
        <v>44.86</v>
      </c>
      <c r="H19" s="15">
        <v>49.29</v>
      </c>
      <c r="I19" s="15">
        <v>51.45</v>
      </c>
      <c r="J19" s="15">
        <v>51.47</v>
      </c>
      <c r="K19" s="15">
        <v>59.69</v>
      </c>
    </row>
    <row r="21" spans="1:11" ht="15" customHeight="1" x14ac:dyDescent="0.2">
      <c r="A21" s="6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5" customHeight="1" x14ac:dyDescent="0.2">
      <c r="A22" s="8"/>
      <c r="B22" s="8" t="s">
        <v>3</v>
      </c>
      <c r="C22" s="8" t="s">
        <v>4</v>
      </c>
      <c r="D22" s="8" t="s">
        <v>5</v>
      </c>
      <c r="E22" s="8" t="s">
        <v>6</v>
      </c>
      <c r="F22" s="8" t="s">
        <v>7</v>
      </c>
      <c r="G22" s="8" t="s">
        <v>8</v>
      </c>
      <c r="H22" s="8" t="s">
        <v>9</v>
      </c>
      <c r="I22" s="8" t="s">
        <v>10</v>
      </c>
      <c r="J22" s="8" t="s">
        <v>11</v>
      </c>
      <c r="K22" s="8" t="s">
        <v>12</v>
      </c>
    </row>
    <row r="23" spans="1:11" ht="15" customHeight="1" x14ac:dyDescent="0.2">
      <c r="A23" s="9" t="s">
        <v>29</v>
      </c>
      <c r="B23" s="10">
        <v>2959</v>
      </c>
      <c r="C23" s="10">
        <v>5922</v>
      </c>
      <c r="D23" s="10">
        <v>5926</v>
      </c>
      <c r="E23" s="10">
        <v>6339</v>
      </c>
      <c r="F23" s="10">
        <v>6445</v>
      </c>
      <c r="G23" s="10">
        <v>6765</v>
      </c>
      <c r="H23" s="10">
        <v>6766</v>
      </c>
      <c r="I23" s="10">
        <v>6766</v>
      </c>
      <c r="J23" s="10">
        <v>13532</v>
      </c>
      <c r="K23" s="10">
        <v>13532</v>
      </c>
    </row>
    <row r="24" spans="1:11" ht="15" customHeight="1" x14ac:dyDescent="0.2">
      <c r="A24" s="9" t="s">
        <v>30</v>
      </c>
      <c r="B24" s="10">
        <v>260750</v>
      </c>
      <c r="C24" s="10">
        <v>287584</v>
      </c>
      <c r="D24" s="10">
        <v>381186</v>
      </c>
      <c r="E24" s="10">
        <v>442827</v>
      </c>
      <c r="F24" s="10">
        <v>693727</v>
      </c>
      <c r="G24" s="10">
        <v>772720</v>
      </c>
      <c r="H24" s="10">
        <v>709106</v>
      </c>
      <c r="I24" s="10">
        <v>786715</v>
      </c>
      <c r="J24" s="10">
        <v>829668</v>
      </c>
      <c r="K24" s="10">
        <v>890498</v>
      </c>
    </row>
    <row r="25" spans="1:11" ht="15" customHeight="1" x14ac:dyDescent="0.2">
      <c r="A25" s="13" t="s">
        <v>31</v>
      </c>
      <c r="B25" s="14">
        <v>263709</v>
      </c>
      <c r="C25" s="14">
        <v>293506</v>
      </c>
      <c r="D25" s="14">
        <v>387112</v>
      </c>
      <c r="E25" s="14">
        <v>449166</v>
      </c>
      <c r="F25" s="14">
        <v>700172</v>
      </c>
      <c r="G25" s="14">
        <v>779485</v>
      </c>
      <c r="H25" s="14">
        <v>715872</v>
      </c>
      <c r="I25" s="14">
        <v>793481</v>
      </c>
      <c r="J25" s="14">
        <v>843200</v>
      </c>
      <c r="K25" s="14">
        <v>904030</v>
      </c>
    </row>
    <row r="26" spans="1:11" ht="15" customHeight="1" x14ac:dyDescent="0.2">
      <c r="A26" s="9" t="s">
        <v>32</v>
      </c>
      <c r="B26" s="10">
        <v>217475</v>
      </c>
      <c r="C26" s="10">
        <v>239843</v>
      </c>
      <c r="D26" s="10">
        <v>307714</v>
      </c>
      <c r="E26" s="10">
        <v>355133</v>
      </c>
      <c r="F26" s="10">
        <v>278962</v>
      </c>
      <c r="G26" s="10">
        <v>319158</v>
      </c>
      <c r="H26" s="10">
        <v>451664</v>
      </c>
      <c r="I26" s="10">
        <v>350719</v>
      </c>
      <c r="J26" s="10">
        <v>374313</v>
      </c>
      <c r="K26" s="10">
        <v>402962</v>
      </c>
    </row>
    <row r="27" spans="1:11" ht="15" customHeight="1" x14ac:dyDescent="0.2">
      <c r="A27" s="13" t="s">
        <v>33</v>
      </c>
      <c r="B27" s="14">
        <v>214452</v>
      </c>
      <c r="C27" s="14">
        <v>235588</v>
      </c>
      <c r="D27" s="14">
        <v>296633</v>
      </c>
      <c r="E27" s="14">
        <v>324213</v>
      </c>
      <c r="F27" s="14">
        <v>261565</v>
      </c>
      <c r="G27" s="14">
        <v>282980</v>
      </c>
      <c r="H27" s="14">
        <v>383000</v>
      </c>
      <c r="I27" s="14">
        <v>253494</v>
      </c>
      <c r="J27" s="14">
        <v>267811</v>
      </c>
      <c r="K27" s="14">
        <v>256985</v>
      </c>
    </row>
    <row r="28" spans="1:11" ht="15" customHeight="1" x14ac:dyDescent="0.2">
      <c r="A28" s="9" t="s">
        <v>34</v>
      </c>
      <c r="B28" s="10">
        <v>523363</v>
      </c>
      <c r="C28" s="10">
        <v>590907</v>
      </c>
      <c r="D28" s="10">
        <v>577837</v>
      </c>
      <c r="E28" s="10">
        <v>641764</v>
      </c>
      <c r="F28" s="10">
        <v>667211</v>
      </c>
      <c r="G28" s="10">
        <v>800304</v>
      </c>
      <c r="H28" s="10">
        <v>1018557</v>
      </c>
      <c r="I28" s="10">
        <v>1118840</v>
      </c>
      <c r="J28" s="10">
        <v>1261751</v>
      </c>
      <c r="K28" s="10">
        <v>1362481</v>
      </c>
    </row>
    <row r="29" spans="1:11" ht="15" customHeight="1" x14ac:dyDescent="0.2">
      <c r="A29" s="9" t="s">
        <v>35</v>
      </c>
      <c r="B29" s="10">
        <v>3023</v>
      </c>
      <c r="C29" s="10">
        <v>4255</v>
      </c>
      <c r="D29" s="10">
        <v>11081</v>
      </c>
      <c r="E29" s="10">
        <v>30920</v>
      </c>
      <c r="F29" s="10">
        <v>17397</v>
      </c>
      <c r="G29" s="10">
        <v>36178</v>
      </c>
      <c r="H29" s="10">
        <v>68664</v>
      </c>
      <c r="I29" s="10">
        <v>97225</v>
      </c>
      <c r="J29" s="10">
        <v>106502</v>
      </c>
      <c r="K29" s="10">
        <v>145977</v>
      </c>
    </row>
    <row r="31" spans="1:11" ht="15" customHeight="1" x14ac:dyDescent="0.2">
      <c r="A31" s="6" t="s">
        <v>36</v>
      </c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15" customHeight="1" x14ac:dyDescent="0.2">
      <c r="A32" s="8"/>
      <c r="B32" s="8" t="s">
        <v>3</v>
      </c>
      <c r="C32" s="8" t="s">
        <v>4</v>
      </c>
      <c r="D32" s="8" t="s">
        <v>5</v>
      </c>
      <c r="E32" s="8" t="s">
        <v>6</v>
      </c>
      <c r="F32" s="8" t="s">
        <v>7</v>
      </c>
      <c r="G32" s="8" t="s">
        <v>8</v>
      </c>
      <c r="H32" s="8" t="s">
        <v>9</v>
      </c>
      <c r="I32" s="8" t="s">
        <v>10</v>
      </c>
      <c r="J32" s="8" t="s">
        <v>11</v>
      </c>
      <c r="K32" s="8" t="s">
        <v>12</v>
      </c>
    </row>
    <row r="33" spans="1:11" ht="15" customHeight="1" x14ac:dyDescent="0.2">
      <c r="A33" s="9" t="s">
        <v>37</v>
      </c>
      <c r="B33" s="10">
        <v>49550</v>
      </c>
      <c r="C33" s="10">
        <v>71459</v>
      </c>
      <c r="D33" s="10">
        <v>42346</v>
      </c>
      <c r="E33" s="10">
        <v>94877</v>
      </c>
      <c r="F33" s="10">
        <v>26958</v>
      </c>
      <c r="G33" s="10">
        <v>110654</v>
      </c>
      <c r="H33" s="10">
        <v>115032</v>
      </c>
      <c r="I33" s="10">
        <v>158788</v>
      </c>
      <c r="J33" s="10">
        <v>178703</v>
      </c>
      <c r="K33" s="10">
        <v>192113</v>
      </c>
    </row>
    <row r="34" spans="1:11" ht="15" customHeight="1" x14ac:dyDescent="0.2">
      <c r="A34" s="9" t="s">
        <v>38</v>
      </c>
      <c r="B34" s="10">
        <v>-66201</v>
      </c>
      <c r="C34" s="10">
        <v>-68192</v>
      </c>
      <c r="D34" s="10">
        <v>-94507</v>
      </c>
      <c r="E34" s="10">
        <v>-72497</v>
      </c>
      <c r="F34" s="10">
        <v>-142385</v>
      </c>
      <c r="G34" s="10">
        <v>-109162</v>
      </c>
      <c r="H34" s="10">
        <v>-93001</v>
      </c>
      <c r="I34" s="10">
        <v>-113581</v>
      </c>
      <c r="J34" s="10">
        <v>-137535</v>
      </c>
      <c r="K34" s="10">
        <v>-101089</v>
      </c>
    </row>
    <row r="35" spans="1:11" ht="15" customHeight="1" x14ac:dyDescent="0.2">
      <c r="A35" s="9" t="s">
        <v>39</v>
      </c>
      <c r="B35" s="10">
        <v>8617</v>
      </c>
      <c r="C35" s="10">
        <v>-2001</v>
      </c>
      <c r="D35" s="10">
        <v>55906</v>
      </c>
      <c r="E35" s="10">
        <v>-2541</v>
      </c>
      <c r="F35" s="10">
        <v>101904</v>
      </c>
      <c r="G35" s="10">
        <v>17289</v>
      </c>
      <c r="H35" s="10">
        <v>10455</v>
      </c>
      <c r="I35" s="10">
        <v>-16646</v>
      </c>
      <c r="J35" s="10">
        <v>-31891</v>
      </c>
      <c r="K35" s="10">
        <v>-51549</v>
      </c>
    </row>
    <row r="36" spans="1:11" ht="15" customHeight="1" x14ac:dyDescent="0.2">
      <c r="A36" s="13" t="s">
        <v>40</v>
      </c>
      <c r="B36" s="14">
        <v>-16651</v>
      </c>
      <c r="C36" s="14">
        <v>3267</v>
      </c>
      <c r="D36" s="14">
        <v>-52161</v>
      </c>
      <c r="E36" s="14">
        <v>22380</v>
      </c>
      <c r="F36" s="14">
        <v>-115427</v>
      </c>
      <c r="G36" s="14">
        <v>1492</v>
      </c>
      <c r="H36" s="14">
        <v>22031</v>
      </c>
      <c r="I36" s="14">
        <v>45207</v>
      </c>
      <c r="J36" s="14">
        <v>41168</v>
      </c>
      <c r="K36" s="14">
        <v>91024</v>
      </c>
    </row>
    <row r="38" spans="1:11" ht="15" customHeight="1" x14ac:dyDescent="0.2">
      <c r="A38" s="6" t="s">
        <v>41</v>
      </c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15" customHeight="1" x14ac:dyDescent="0.2">
      <c r="A39" s="8"/>
      <c r="B39" s="8" t="s">
        <v>3</v>
      </c>
      <c r="C39" s="8" t="s">
        <v>4</v>
      </c>
      <c r="D39" s="8" t="s">
        <v>5</v>
      </c>
      <c r="E39" s="8" t="s">
        <v>6</v>
      </c>
      <c r="F39" s="8" t="s">
        <v>7</v>
      </c>
      <c r="G39" s="8" t="s">
        <v>8</v>
      </c>
      <c r="H39" s="8" t="s">
        <v>9</v>
      </c>
      <c r="I39" s="8" t="s">
        <v>10</v>
      </c>
      <c r="J39" s="8" t="s">
        <v>11</v>
      </c>
      <c r="K39" s="8" t="s">
        <v>12</v>
      </c>
    </row>
    <row r="40" spans="1:11" ht="15" customHeight="1" x14ac:dyDescent="0.2">
      <c r="A40" s="9" t="s">
        <v>42</v>
      </c>
      <c r="B40" s="12">
        <v>0.1134</v>
      </c>
      <c r="C40" s="12">
        <v>0.1229</v>
      </c>
      <c r="D40" s="12">
        <v>0.1023</v>
      </c>
      <c r="E40" s="12">
        <v>8.7599999999999997E-2</v>
      </c>
      <c r="F40" s="12">
        <v>7.0199999999999999E-2</v>
      </c>
      <c r="G40" s="12">
        <v>7.7899999999999997E-2</v>
      </c>
      <c r="H40" s="12">
        <v>9.3200000000000005E-2</v>
      </c>
      <c r="I40" s="12">
        <v>8.77E-2</v>
      </c>
      <c r="J40" s="12">
        <v>8.2600000000000007E-2</v>
      </c>
      <c r="K40" s="12">
        <v>8.9300000000000004E-2</v>
      </c>
    </row>
    <row r="41" spans="1:11" ht="15" customHeight="1" x14ac:dyDescent="0.2">
      <c r="A41" s="9" t="s">
        <v>43</v>
      </c>
      <c r="B41" s="12">
        <v>7.1999999999999995E-2</v>
      </c>
      <c r="C41" s="12">
        <v>8.9300000000000004E-2</v>
      </c>
      <c r="D41" s="12">
        <v>9.11E-2</v>
      </c>
      <c r="E41" s="12">
        <v>8.3400000000000002E-2</v>
      </c>
      <c r="F41" s="12">
        <v>5.5399999999999998E-2</v>
      </c>
      <c r="G41" s="12">
        <v>7.17E-2</v>
      </c>
      <c r="H41" s="12">
        <v>8.7400000000000005E-2</v>
      </c>
      <c r="I41" s="12">
        <v>9.7600000000000006E-2</v>
      </c>
      <c r="J41" s="12">
        <v>9.2399999999999996E-2</v>
      </c>
      <c r="K41" s="12">
        <v>9.2899999999999996E-2</v>
      </c>
    </row>
    <row r="42" spans="1:11" ht="15" customHeight="1" x14ac:dyDescent="0.2">
      <c r="A42" s="9" t="s">
        <v>44</v>
      </c>
      <c r="B42" s="16">
        <v>4.63</v>
      </c>
      <c r="C42" s="16">
        <v>3.66</v>
      </c>
      <c r="D42" s="16">
        <v>3.52</v>
      </c>
      <c r="E42" s="16">
        <v>3.63</v>
      </c>
      <c r="F42" s="16">
        <v>3.24</v>
      </c>
      <c r="G42" s="16">
        <v>2.61</v>
      </c>
      <c r="H42" s="16">
        <v>2.69</v>
      </c>
      <c r="I42" s="16">
        <v>1.56</v>
      </c>
      <c r="J42" s="16">
        <v>1.62</v>
      </c>
      <c r="K42" s="16">
        <v>1.44</v>
      </c>
    </row>
    <row r="43" spans="1:11" ht="15" customHeight="1" x14ac:dyDescent="0.2">
      <c r="A43" s="9" t="s">
        <v>45</v>
      </c>
      <c r="B43" s="12">
        <v>9.8400000000000001E-2</v>
      </c>
      <c r="C43" s="12">
        <v>9.2299999999999993E-2</v>
      </c>
      <c r="D43" s="12">
        <v>6.9699999999999998E-2</v>
      </c>
      <c r="E43" s="12">
        <v>6.6000000000000003E-2</v>
      </c>
      <c r="F43" s="12">
        <v>0.10539999999999999</v>
      </c>
      <c r="G43" s="12">
        <v>8.7400000000000005E-2</v>
      </c>
      <c r="H43" s="12">
        <v>7.6100000000000001E-2</v>
      </c>
      <c r="I43" s="12">
        <v>7.7399999999999997E-2</v>
      </c>
      <c r="J43" s="12">
        <v>7.2300000000000003E-2</v>
      </c>
      <c r="K43" s="12">
        <v>7.6499999999999999E-2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showGridLines="0" zoomScaleNormal="100" workbookViewId="0">
      <selection activeCell="C10" sqref="C10"/>
    </sheetView>
  </sheetViews>
  <sheetFormatPr baseColWidth="10" defaultColWidth="8.6640625" defaultRowHeight="15" x14ac:dyDescent="0.2"/>
  <cols>
    <col min="1" max="1" width="36" customWidth="1"/>
    <col min="2" max="2" width="14" customWidth="1"/>
    <col min="3" max="3" width="40" customWidth="1"/>
    <col min="4" max="8" width="14" customWidth="1"/>
  </cols>
  <sheetData>
    <row r="1" spans="1:8" ht="15" customHeight="1" x14ac:dyDescent="0.2">
      <c r="A1" s="4" t="s">
        <v>46</v>
      </c>
      <c r="B1" s="4"/>
      <c r="C1" s="4"/>
      <c r="D1" s="4"/>
      <c r="E1" s="4"/>
      <c r="F1" s="4"/>
      <c r="G1" s="4"/>
      <c r="H1" s="4"/>
    </row>
    <row r="2" spans="1:8" ht="15" customHeight="1" x14ac:dyDescent="0.2">
      <c r="A2" s="2"/>
      <c r="B2" s="2"/>
      <c r="C2" s="2"/>
      <c r="D2" s="2"/>
      <c r="E2" s="2"/>
      <c r="F2" s="2"/>
      <c r="G2" s="2"/>
      <c r="H2" s="2"/>
    </row>
    <row r="4" spans="1:8" ht="15" customHeight="1" x14ac:dyDescent="0.2">
      <c r="A4" s="6" t="s">
        <v>47</v>
      </c>
      <c r="B4" s="7"/>
      <c r="C4" s="7"/>
      <c r="D4" s="7"/>
      <c r="E4" s="7"/>
      <c r="F4" s="7"/>
      <c r="G4" s="7"/>
      <c r="H4" s="7"/>
    </row>
    <row r="5" spans="1:8" ht="15" customHeight="1" x14ac:dyDescent="0.2">
      <c r="A5" s="9" t="s">
        <v>48</v>
      </c>
      <c r="B5" s="17">
        <v>7.0000000000000007E-2</v>
      </c>
      <c r="C5" s="5" t="s">
        <v>49</v>
      </c>
    </row>
    <row r="6" spans="1:8" ht="15" customHeight="1" x14ac:dyDescent="0.2">
      <c r="A6" s="9" t="s">
        <v>50</v>
      </c>
      <c r="B6" s="17">
        <v>0.95</v>
      </c>
      <c r="C6" s="5" t="s">
        <v>51</v>
      </c>
    </row>
    <row r="7" spans="1:8" ht="15" customHeight="1" x14ac:dyDescent="0.2">
      <c r="A7" s="9" t="s">
        <v>52</v>
      </c>
      <c r="B7" s="17">
        <v>5.5E-2</v>
      </c>
      <c r="C7" s="5" t="s">
        <v>53</v>
      </c>
    </row>
    <row r="8" spans="1:8" ht="15" customHeight="1" x14ac:dyDescent="0.2">
      <c r="A8" s="9" t="s">
        <v>54</v>
      </c>
      <c r="B8" s="10">
        <f>B5+B6*B7</f>
        <v>0.12225</v>
      </c>
    </row>
    <row r="9" spans="1:8" ht="15" customHeight="1" x14ac:dyDescent="0.2">
      <c r="A9" s="9" t="s">
        <v>55</v>
      </c>
      <c r="B9" s="17">
        <v>7.4999999999999997E-2</v>
      </c>
      <c r="C9" s="5" t="s">
        <v>56</v>
      </c>
    </row>
    <row r="10" spans="1:8" ht="15" customHeight="1" x14ac:dyDescent="0.2">
      <c r="A10" s="9" t="s">
        <v>57</v>
      </c>
      <c r="B10" s="17">
        <v>0.25</v>
      </c>
      <c r="C10" s="5" t="s">
        <v>58</v>
      </c>
    </row>
    <row r="11" spans="1:8" ht="15" customHeight="1" x14ac:dyDescent="0.2">
      <c r="A11" s="9" t="s">
        <v>59</v>
      </c>
      <c r="B11" s="10">
        <f>B9*(1-B10)</f>
        <v>5.6249999999999994E-2</v>
      </c>
    </row>
    <row r="12" spans="1:8" ht="15" customHeight="1" x14ac:dyDescent="0.2">
      <c r="A12" s="9" t="s">
        <v>60</v>
      </c>
      <c r="B12" s="18">
        <v>1772552.58</v>
      </c>
      <c r="C12" s="5" t="s">
        <v>61</v>
      </c>
    </row>
    <row r="13" spans="1:8" ht="15" customHeight="1" x14ac:dyDescent="0.2">
      <c r="A13" s="9" t="s">
        <v>62</v>
      </c>
      <c r="B13" s="18">
        <v>402962</v>
      </c>
      <c r="C13" s="5" t="s">
        <v>63</v>
      </c>
    </row>
    <row r="14" spans="1:8" ht="15" customHeight="1" x14ac:dyDescent="0.2">
      <c r="A14" s="9" t="s">
        <v>64</v>
      </c>
      <c r="B14" s="10">
        <f>B12+B13</f>
        <v>2175514.58</v>
      </c>
    </row>
    <row r="15" spans="1:8" ht="15" customHeight="1" x14ac:dyDescent="0.2">
      <c r="A15" s="9" t="s">
        <v>65</v>
      </c>
      <c r="B15" s="10">
        <f>B12/B14</f>
        <v>0.81477393729992842</v>
      </c>
    </row>
    <row r="16" spans="1:8" ht="15" customHeight="1" x14ac:dyDescent="0.2">
      <c r="A16" s="9" t="s">
        <v>66</v>
      </c>
      <c r="B16" s="10">
        <f>B13/B14</f>
        <v>0.18522606270007164</v>
      </c>
    </row>
    <row r="17" spans="1:8" ht="15" customHeight="1" x14ac:dyDescent="0.2">
      <c r="A17" s="9" t="s">
        <v>67</v>
      </c>
      <c r="B17" s="10">
        <f>B8*B15+B11*B16</f>
        <v>0.11002507986179527</v>
      </c>
    </row>
    <row r="19" spans="1:8" ht="15" customHeight="1" x14ac:dyDescent="0.2">
      <c r="A19" s="6" t="s">
        <v>68</v>
      </c>
      <c r="B19" s="7"/>
      <c r="C19" s="7"/>
      <c r="D19" s="7"/>
      <c r="E19" s="7"/>
      <c r="F19" s="7"/>
      <c r="G19" s="7"/>
      <c r="H19" s="7"/>
    </row>
    <row r="20" spans="1:8" ht="15" customHeight="1" x14ac:dyDescent="0.2">
      <c r="A20" s="8" t="s">
        <v>69</v>
      </c>
      <c r="B20" s="8" t="s">
        <v>70</v>
      </c>
      <c r="C20" s="8" t="s">
        <v>71</v>
      </c>
      <c r="D20" s="8" t="s">
        <v>72</v>
      </c>
      <c r="E20" s="8" t="s">
        <v>73</v>
      </c>
      <c r="F20" s="8" t="s">
        <v>74</v>
      </c>
    </row>
    <row r="21" spans="1:8" ht="15" customHeight="1" x14ac:dyDescent="0.2">
      <c r="A21" s="9" t="s">
        <v>75</v>
      </c>
      <c r="B21" s="17">
        <v>0.1</v>
      </c>
      <c r="C21" s="17">
        <v>0.1</v>
      </c>
      <c r="D21" s="17">
        <v>0.09</v>
      </c>
      <c r="E21" s="17">
        <v>0.09</v>
      </c>
      <c r="F21" s="17">
        <v>0.08</v>
      </c>
    </row>
    <row r="22" spans="1:8" ht="15" customHeight="1" x14ac:dyDescent="0.2">
      <c r="A22" s="9" t="s">
        <v>17</v>
      </c>
      <c r="B22" s="17">
        <v>0.17499999999999999</v>
      </c>
      <c r="C22" s="17">
        <v>0.17499999999999999</v>
      </c>
      <c r="D22" s="17">
        <v>0.17499999999999999</v>
      </c>
      <c r="E22" s="17">
        <v>0.18</v>
      </c>
      <c r="F22" s="17">
        <v>0.18</v>
      </c>
    </row>
    <row r="23" spans="1:8" ht="15" customHeight="1" x14ac:dyDescent="0.2">
      <c r="A23" s="9" t="s">
        <v>76</v>
      </c>
      <c r="B23" s="17">
        <v>5.5E-2</v>
      </c>
      <c r="C23" s="17">
        <v>5.5E-2</v>
      </c>
      <c r="D23" s="17">
        <v>5.5E-2</v>
      </c>
      <c r="E23" s="17">
        <v>5.5E-2</v>
      </c>
      <c r="F23" s="17">
        <v>5.5E-2</v>
      </c>
    </row>
    <row r="24" spans="1:8" ht="15" customHeight="1" x14ac:dyDescent="0.2">
      <c r="A24" s="9" t="s">
        <v>77</v>
      </c>
      <c r="B24" s="17">
        <v>0.14000000000000001</v>
      </c>
      <c r="C24" s="17">
        <v>0.13</v>
      </c>
      <c r="D24" s="17">
        <v>0.12</v>
      </c>
      <c r="E24" s="17">
        <v>0.12</v>
      </c>
      <c r="F24" s="17">
        <v>0.11</v>
      </c>
    </row>
    <row r="26" spans="1:8" ht="15" customHeight="1" x14ac:dyDescent="0.2">
      <c r="A26" s="6" t="s">
        <v>78</v>
      </c>
      <c r="B26" s="7"/>
      <c r="C26" s="7"/>
      <c r="D26" s="7"/>
      <c r="E26" s="7"/>
      <c r="F26" s="7"/>
      <c r="G26" s="7"/>
      <c r="H26" s="7"/>
    </row>
    <row r="27" spans="1:8" ht="15" customHeight="1" x14ac:dyDescent="0.2">
      <c r="A27" s="9" t="s">
        <v>79</v>
      </c>
      <c r="B27" s="17">
        <v>0.05</v>
      </c>
      <c r="C27" s="5" t="s">
        <v>80</v>
      </c>
    </row>
    <row r="28" spans="1:8" ht="15" customHeight="1" x14ac:dyDescent="0.2">
      <c r="A28" s="9" t="s">
        <v>81</v>
      </c>
      <c r="B28" s="19">
        <v>1353.25</v>
      </c>
      <c r="C28" s="5" t="s">
        <v>82</v>
      </c>
    </row>
    <row r="29" spans="1:8" ht="15" customHeight="1" x14ac:dyDescent="0.2">
      <c r="A29" s="9" t="s">
        <v>83</v>
      </c>
      <c r="B29" s="19">
        <v>1309.5</v>
      </c>
      <c r="C29" s="5" t="s">
        <v>84</v>
      </c>
    </row>
    <row r="30" spans="1:8" ht="15" customHeight="1" x14ac:dyDescent="0.2">
      <c r="A30" s="9" t="s">
        <v>85</v>
      </c>
      <c r="B30" s="19">
        <v>256985</v>
      </c>
      <c r="C30" s="5" t="s">
        <v>86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1" width="34" customWidth="1"/>
    <col min="2" max="8" width="14" customWidth="1"/>
  </cols>
  <sheetData>
    <row r="1" spans="1:7" ht="15" customHeight="1" x14ac:dyDescent="0.2">
      <c r="A1" s="4" t="s">
        <v>87</v>
      </c>
      <c r="B1" s="4"/>
      <c r="C1" s="4"/>
      <c r="D1" s="4"/>
      <c r="E1" s="4"/>
      <c r="F1" s="4"/>
      <c r="G1" s="4"/>
    </row>
    <row r="2" spans="1:7" ht="15" customHeight="1" x14ac:dyDescent="0.2">
      <c r="A2" s="2" t="s">
        <v>88</v>
      </c>
      <c r="B2" s="2"/>
      <c r="C2" s="2"/>
      <c r="D2" s="2"/>
      <c r="E2" s="2"/>
      <c r="F2" s="2"/>
      <c r="G2" s="2"/>
    </row>
    <row r="4" spans="1:7" ht="15" customHeight="1" x14ac:dyDescent="0.2">
      <c r="A4" s="6" t="s">
        <v>89</v>
      </c>
      <c r="B4" s="7"/>
      <c r="C4" s="7"/>
      <c r="D4" s="7"/>
      <c r="E4" s="7"/>
      <c r="F4" s="7"/>
      <c r="G4" s="7"/>
    </row>
    <row r="5" spans="1:7" ht="15" customHeight="1" x14ac:dyDescent="0.2">
      <c r="A5" s="8"/>
      <c r="B5" s="8" t="s">
        <v>90</v>
      </c>
      <c r="C5" s="8" t="s">
        <v>91</v>
      </c>
      <c r="D5" s="8" t="s">
        <v>92</v>
      </c>
      <c r="E5" s="8" t="s">
        <v>93</v>
      </c>
      <c r="F5" s="8" t="s">
        <v>94</v>
      </c>
      <c r="G5" s="8" t="s">
        <v>95</v>
      </c>
    </row>
    <row r="6" spans="1:7" ht="15" customHeight="1" x14ac:dyDescent="0.2">
      <c r="A6" s="9" t="s">
        <v>96</v>
      </c>
      <c r="B6" s="14">
        <v>1055780</v>
      </c>
      <c r="C6" s="20">
        <f>B6*(1+Assumptions!B21)</f>
        <v>1161358</v>
      </c>
      <c r="D6" s="20">
        <f>C6*(1+Assumptions!C21)</f>
        <v>1277493.8</v>
      </c>
      <c r="E6" s="20">
        <f>D6*(1+Assumptions!D21)</f>
        <v>1392468.2420000001</v>
      </c>
      <c r="F6" s="20">
        <f>E6*(1+Assumptions!E21)</f>
        <v>1517790.3837800003</v>
      </c>
      <c r="G6" s="20">
        <f>F6*(1+Assumptions!F21)</f>
        <v>1639213.6144824005</v>
      </c>
    </row>
    <row r="7" spans="1:7" ht="15" customHeight="1" x14ac:dyDescent="0.2">
      <c r="A7" s="9" t="s">
        <v>97</v>
      </c>
      <c r="B7" s="9"/>
      <c r="C7" s="21">
        <f>Assumptions!B21</f>
        <v>0.1</v>
      </c>
      <c r="D7" s="21">
        <f>Assumptions!C21</f>
        <v>0.1</v>
      </c>
      <c r="E7" s="21">
        <f>Assumptions!D21</f>
        <v>0.09</v>
      </c>
      <c r="F7" s="21">
        <f>Assumptions!E21</f>
        <v>0.09</v>
      </c>
      <c r="G7" s="21">
        <f>Assumptions!F21</f>
        <v>0.08</v>
      </c>
    </row>
    <row r="8" spans="1:7" ht="15" customHeight="1" x14ac:dyDescent="0.2">
      <c r="A8" s="9" t="s">
        <v>98</v>
      </c>
      <c r="B8" s="10">
        <v>179065</v>
      </c>
      <c r="C8" s="22">
        <f>C6*Assumptions!B22</f>
        <v>203237.65</v>
      </c>
      <c r="D8" s="22">
        <f>D6*Assumptions!C22</f>
        <v>223561.41500000001</v>
      </c>
      <c r="E8" s="22">
        <f>E6*Assumptions!D22</f>
        <v>243681.94235</v>
      </c>
      <c r="F8" s="22">
        <f>F6*Assumptions!E22</f>
        <v>273202.26908040006</v>
      </c>
      <c r="G8" s="22">
        <f>G6*Assumptions!F22</f>
        <v>295058.45060683205</v>
      </c>
    </row>
    <row r="9" spans="1:7" ht="15" customHeight="1" x14ac:dyDescent="0.2">
      <c r="A9" s="9" t="s">
        <v>99</v>
      </c>
      <c r="B9" s="12">
        <f>B8/B6</f>
        <v>0.16960446305101443</v>
      </c>
      <c r="C9" s="21">
        <f>Assumptions!B22</f>
        <v>0.17499999999999999</v>
      </c>
      <c r="D9" s="21">
        <f>Assumptions!C22</f>
        <v>0.17499999999999999</v>
      </c>
      <c r="E9" s="21">
        <f>Assumptions!D22</f>
        <v>0.17499999999999999</v>
      </c>
      <c r="F9" s="21">
        <f>Assumptions!E22</f>
        <v>0.18</v>
      </c>
      <c r="G9" s="21">
        <f>Assumptions!F22</f>
        <v>0.18</v>
      </c>
    </row>
    <row r="10" spans="1:7" ht="15" customHeight="1" x14ac:dyDescent="0.2">
      <c r="A10" s="9" t="s">
        <v>100</v>
      </c>
      <c r="B10" s="10">
        <v>57688</v>
      </c>
      <c r="C10" s="22">
        <f>C6*Assumptions!B23</f>
        <v>63874.69</v>
      </c>
      <c r="D10" s="22">
        <f>D6*Assumptions!C23</f>
        <v>70262.159</v>
      </c>
      <c r="E10" s="22">
        <f>E6*Assumptions!D23</f>
        <v>76585.75331</v>
      </c>
      <c r="F10" s="22">
        <f>F6*Assumptions!E23</f>
        <v>83478.471107900012</v>
      </c>
      <c r="G10" s="22">
        <f>G6*Assumptions!F23</f>
        <v>90156.748796532032</v>
      </c>
    </row>
    <row r="11" spans="1:7" ht="15" customHeight="1" x14ac:dyDescent="0.2">
      <c r="A11" s="9" t="s">
        <v>101</v>
      </c>
      <c r="B11" s="10">
        <f t="shared" ref="B11:G11" si="0">B8-B10</f>
        <v>121377</v>
      </c>
      <c r="C11" s="10">
        <f t="shared" si="0"/>
        <v>139362.96</v>
      </c>
      <c r="D11" s="10">
        <f t="shared" si="0"/>
        <v>153299.25599999999</v>
      </c>
      <c r="E11" s="10">
        <f t="shared" si="0"/>
        <v>167096.18904</v>
      </c>
      <c r="F11" s="10">
        <f t="shared" si="0"/>
        <v>189723.79797250003</v>
      </c>
      <c r="G11" s="10">
        <f t="shared" si="0"/>
        <v>204901.7018103</v>
      </c>
    </row>
    <row r="12" spans="1:7" ht="15" customHeight="1" x14ac:dyDescent="0.2">
      <c r="A12" s="9" t="s">
        <v>102</v>
      </c>
      <c r="B12" s="12">
        <f t="shared" ref="B12:G12" si="1">B11/B6</f>
        <v>0.11496429180321657</v>
      </c>
      <c r="C12" s="12">
        <f t="shared" si="1"/>
        <v>0.12</v>
      </c>
      <c r="D12" s="12">
        <f t="shared" si="1"/>
        <v>0.12</v>
      </c>
      <c r="E12" s="12">
        <f t="shared" si="1"/>
        <v>0.12</v>
      </c>
      <c r="F12" s="12">
        <f t="shared" si="1"/>
        <v>0.125</v>
      </c>
      <c r="G12" s="12">
        <f t="shared" si="1"/>
        <v>0.12499999999999996</v>
      </c>
    </row>
    <row r="13" spans="1:7" ht="15" customHeight="1" x14ac:dyDescent="0.2">
      <c r="A13" s="9" t="s">
        <v>103</v>
      </c>
      <c r="B13" s="14">
        <f>B11*(1-Assumptions!B10)</f>
        <v>91032.75</v>
      </c>
      <c r="C13" s="14">
        <f>C11*(1-Assumptions!B10)</f>
        <v>104522.22</v>
      </c>
      <c r="D13" s="14">
        <f>D11*(1-Assumptions!B10)</f>
        <v>114974.442</v>
      </c>
      <c r="E13" s="14">
        <f>E11*(1-Assumptions!B10)</f>
        <v>125322.14178000001</v>
      </c>
      <c r="F13" s="14">
        <f>F11*(1-Assumptions!B10)</f>
        <v>142292.84847937501</v>
      </c>
      <c r="G13" s="14">
        <f>G11*(1-Assumptions!B10)</f>
        <v>153676.276357725</v>
      </c>
    </row>
    <row r="14" spans="1:7" ht="15" customHeight="1" x14ac:dyDescent="0.2">
      <c r="A14" s="9" t="s">
        <v>104</v>
      </c>
      <c r="B14" s="10">
        <f t="shared" ref="B14:G14" si="2">B10</f>
        <v>57688</v>
      </c>
      <c r="C14" s="10">
        <f t="shared" si="2"/>
        <v>63874.69</v>
      </c>
      <c r="D14" s="10">
        <f t="shared" si="2"/>
        <v>70262.159</v>
      </c>
      <c r="E14" s="10">
        <f t="shared" si="2"/>
        <v>76585.75331</v>
      </c>
      <c r="F14" s="10">
        <f t="shared" si="2"/>
        <v>83478.471107900012</v>
      </c>
      <c r="G14" s="10">
        <f t="shared" si="2"/>
        <v>90156.748796532032</v>
      </c>
    </row>
    <row r="15" spans="1:7" ht="15" customHeight="1" x14ac:dyDescent="0.2">
      <c r="A15" s="9" t="s">
        <v>105</v>
      </c>
      <c r="B15" s="9"/>
      <c r="C15" s="22">
        <f>-C6*Assumptions!B24</f>
        <v>-162590.12000000002</v>
      </c>
      <c r="D15" s="22">
        <f>-D6*Assumptions!C24</f>
        <v>-166074.19400000002</v>
      </c>
      <c r="E15" s="22">
        <f>-E6*Assumptions!D24</f>
        <v>-167096.18904</v>
      </c>
      <c r="F15" s="22">
        <f>-F6*Assumptions!E24</f>
        <v>-182134.84605360002</v>
      </c>
      <c r="G15" s="22">
        <f>-G6*Assumptions!F24</f>
        <v>-180313.49759306406</v>
      </c>
    </row>
    <row r="16" spans="1:7" ht="15" customHeight="1" x14ac:dyDescent="0.2">
      <c r="A16" s="13" t="s">
        <v>106</v>
      </c>
      <c r="B16" s="9"/>
      <c r="C16" s="14">
        <f>C13+C14+C15</f>
        <v>5806.789999999979</v>
      </c>
      <c r="D16" s="14">
        <f>D13+D14+D15</f>
        <v>19162.406999999977</v>
      </c>
      <c r="E16" s="14">
        <f>E13+E14+E15</f>
        <v>34811.706050000008</v>
      </c>
      <c r="F16" s="14">
        <f>F13+F14+F15</f>
        <v>43636.473533675016</v>
      </c>
      <c r="G16" s="14">
        <f>G13+G14+G15</f>
        <v>63519.527561192954</v>
      </c>
    </row>
    <row r="18" spans="1:7" ht="15" customHeight="1" x14ac:dyDescent="0.2">
      <c r="A18" s="6" t="s">
        <v>107</v>
      </c>
      <c r="B18" s="7"/>
      <c r="C18" s="7"/>
      <c r="D18" s="7"/>
      <c r="E18" s="7"/>
      <c r="F18" s="7"/>
      <c r="G18" s="7"/>
    </row>
    <row r="19" spans="1:7" ht="15" customHeight="1" x14ac:dyDescent="0.2">
      <c r="A19" s="9" t="s">
        <v>108</v>
      </c>
      <c r="B19" s="9"/>
      <c r="C19" s="23">
        <v>1</v>
      </c>
      <c r="D19" s="23">
        <v>2</v>
      </c>
      <c r="E19" s="23">
        <v>3</v>
      </c>
      <c r="F19" s="23">
        <v>4</v>
      </c>
      <c r="G19" s="23">
        <v>5</v>
      </c>
    </row>
    <row r="20" spans="1:7" ht="15" customHeight="1" x14ac:dyDescent="0.2">
      <c r="A20" s="9" t="s">
        <v>109</v>
      </c>
      <c r="B20" s="9"/>
      <c r="C20" s="24">
        <f>1/(1+Assumptions!B17)^C19</f>
        <v>0.90088054598235379</v>
      </c>
      <c r="D20" s="24">
        <f>1/(1+Assumptions!B17)^D19</f>
        <v>0.81158575812946387</v>
      </c>
      <c r="E20" s="24">
        <f>1/(1+Assumptions!B17)^E19</f>
        <v>0.73114182089517399</v>
      </c>
      <c r="F20" s="24">
        <f>1/(1+Assumptions!B17)^F19</f>
        <v>0.6586714427985767</v>
      </c>
      <c r="G20" s="24">
        <f>1/(1+Assumptions!B17)^G19</f>
        <v>0.59338428901136642</v>
      </c>
    </row>
    <row r="21" spans="1:7" ht="15" customHeight="1" x14ac:dyDescent="0.2">
      <c r="A21" s="13" t="s">
        <v>110</v>
      </c>
      <c r="B21" s="9"/>
      <c r="C21" s="14">
        <f>C16*C20</f>
        <v>5231.2241456048532</v>
      </c>
      <c r="D21" s="14">
        <f>D16*D20</f>
        <v>15551.936612680327</v>
      </c>
      <c r="E21" s="14">
        <f>E16*E20</f>
        <v>25452.294149864552</v>
      </c>
      <c r="F21" s="14">
        <f>F16*F20</f>
        <v>28742.098981067629</v>
      </c>
      <c r="G21" s="14">
        <f>G16*G20</f>
        <v>37691.489700236372</v>
      </c>
    </row>
    <row r="22" spans="1:7" ht="15" customHeight="1" x14ac:dyDescent="0.2">
      <c r="A22" s="13" t="s">
        <v>111</v>
      </c>
      <c r="B22" s="14">
        <f>SUM(C21:G21)</f>
        <v>112669.04358945374</v>
      </c>
    </row>
    <row r="24" spans="1:7" ht="15" customHeight="1" x14ac:dyDescent="0.2">
      <c r="A24" s="6" t="s">
        <v>112</v>
      </c>
      <c r="B24" s="7"/>
      <c r="C24" s="7"/>
      <c r="D24" s="7"/>
      <c r="E24" s="7"/>
      <c r="F24" s="7"/>
      <c r="G24" s="7"/>
    </row>
    <row r="25" spans="1:7" ht="15" customHeight="1" x14ac:dyDescent="0.2">
      <c r="A25" s="9" t="s">
        <v>113</v>
      </c>
      <c r="B25" s="22">
        <f>G16</f>
        <v>63519.527561192954</v>
      </c>
    </row>
    <row r="26" spans="1:7" ht="15" customHeight="1" x14ac:dyDescent="0.2">
      <c r="A26" s="9" t="s">
        <v>79</v>
      </c>
      <c r="B26" s="21">
        <f>Assumptions!B27</f>
        <v>0.05</v>
      </c>
    </row>
    <row r="27" spans="1:7" ht="15" customHeight="1" x14ac:dyDescent="0.2">
      <c r="A27" s="9" t="s">
        <v>114</v>
      </c>
      <c r="B27" s="21">
        <f>Assumptions!B17</f>
        <v>0.11002507986179527</v>
      </c>
    </row>
    <row r="28" spans="1:7" ht="15" customHeight="1" x14ac:dyDescent="0.2">
      <c r="A28" s="13" t="s">
        <v>115</v>
      </c>
      <c r="B28" s="14">
        <f>B25*(1+B26)/(B27-B26)</f>
        <v>1111127.2836756846</v>
      </c>
    </row>
    <row r="29" spans="1:7" ht="15" customHeight="1" x14ac:dyDescent="0.2">
      <c r="A29" s="9" t="s">
        <v>116</v>
      </c>
      <c r="B29" s="24">
        <f>1/(1+Assumptions!B17)^5</f>
        <v>0.59338428901136642</v>
      </c>
    </row>
    <row r="30" spans="1:7" ht="15" customHeight="1" x14ac:dyDescent="0.2">
      <c r="A30" s="13" t="s">
        <v>117</v>
      </c>
      <c r="B30" s="14">
        <f>B28*B29</f>
        <v>659325.47322502697</v>
      </c>
    </row>
    <row r="32" spans="1:7" ht="15" customHeight="1" x14ac:dyDescent="0.2">
      <c r="A32" s="6" t="s">
        <v>118</v>
      </c>
      <c r="B32" s="7"/>
      <c r="C32" s="7"/>
      <c r="D32" s="7"/>
      <c r="E32" s="7"/>
      <c r="F32" s="7"/>
      <c r="G32" s="7"/>
    </row>
    <row r="33" spans="1:7" ht="15" customHeight="1" x14ac:dyDescent="0.2">
      <c r="A33" s="13" t="s">
        <v>119</v>
      </c>
      <c r="B33" s="14">
        <f>B22+B30</f>
        <v>771994.51681448077</v>
      </c>
    </row>
    <row r="34" spans="1:7" ht="15" customHeight="1" x14ac:dyDescent="0.2">
      <c r="A34" s="9" t="s">
        <v>120</v>
      </c>
      <c r="B34" s="22">
        <f>-Assumptions!B30</f>
        <v>-256985</v>
      </c>
    </row>
    <row r="35" spans="1:7" ht="15" customHeight="1" x14ac:dyDescent="0.2">
      <c r="A35" s="13" t="s">
        <v>121</v>
      </c>
      <c r="B35" s="14">
        <f>B33+B34</f>
        <v>515009.51681448077</v>
      </c>
    </row>
    <row r="36" spans="1:7" ht="15" customHeight="1" x14ac:dyDescent="0.2">
      <c r="A36" s="9" t="s">
        <v>81</v>
      </c>
      <c r="B36" s="25">
        <f>Assumptions!B28</f>
        <v>1353.25</v>
      </c>
    </row>
    <row r="37" spans="1:7" ht="18" customHeight="1" x14ac:dyDescent="0.2">
      <c r="A37" s="26" t="s">
        <v>122</v>
      </c>
      <c r="B37" s="27">
        <f>B35/B36</f>
        <v>380.57233830739386</v>
      </c>
    </row>
    <row r="38" spans="1:7" ht="15" customHeight="1" x14ac:dyDescent="0.2">
      <c r="A38" s="9" t="s">
        <v>83</v>
      </c>
      <c r="B38" s="28">
        <f>Assumptions!B29</f>
        <v>1309.5</v>
      </c>
    </row>
    <row r="39" spans="1:7" ht="15" customHeight="1" x14ac:dyDescent="0.2">
      <c r="A39" s="13" t="s">
        <v>123</v>
      </c>
      <c r="B39" s="29">
        <f>(B37/B38)-1</f>
        <v>-0.70937583939870641</v>
      </c>
    </row>
    <row r="41" spans="1:7" ht="27.75" customHeight="1" x14ac:dyDescent="0.2">
      <c r="A41" s="1" t="s">
        <v>124</v>
      </c>
      <c r="B41" s="1"/>
      <c r="C41" s="1"/>
      <c r="D41" s="1"/>
      <c r="E41" s="1"/>
      <c r="F41" s="1"/>
      <c r="G41" s="1"/>
    </row>
  </sheetData>
  <mergeCells count="3">
    <mergeCell ref="A1:G1"/>
    <mergeCell ref="A2:G2"/>
    <mergeCell ref="A41:G4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showGridLines="0" zoomScaleNormal="100" workbookViewId="0">
      <selection sqref="A1:J1"/>
    </sheetView>
  </sheetViews>
  <sheetFormatPr baseColWidth="10" defaultColWidth="8.6640625" defaultRowHeight="15" x14ac:dyDescent="0.2"/>
  <cols>
    <col min="1" max="1" width="22" customWidth="1"/>
    <col min="2" max="6" width="14" customWidth="1"/>
    <col min="7" max="7" width="8" customWidth="1"/>
    <col min="8" max="9" width="10" customWidth="1"/>
    <col min="10" max="10" width="8" customWidth="1"/>
  </cols>
  <sheetData>
    <row r="1" spans="1:10" ht="15" customHeight="1" x14ac:dyDescent="0.2">
      <c r="A1" s="4" t="s">
        <v>125</v>
      </c>
      <c r="B1" s="4"/>
      <c r="C1" s="4"/>
      <c r="D1" s="4"/>
      <c r="E1" s="4"/>
      <c r="F1" s="4"/>
      <c r="G1" s="4"/>
      <c r="H1" s="4"/>
      <c r="I1" s="4"/>
      <c r="J1" s="4"/>
    </row>
    <row r="2" spans="1:10" ht="15" customHeight="1" x14ac:dyDescent="0.2">
      <c r="A2" s="2" t="s">
        <v>126</v>
      </c>
      <c r="B2" s="2"/>
      <c r="C2" s="2"/>
      <c r="D2" s="2"/>
      <c r="E2" s="2"/>
      <c r="F2" s="2"/>
      <c r="G2" s="2"/>
      <c r="H2" s="2"/>
      <c r="I2" s="2"/>
      <c r="J2" s="2"/>
    </row>
    <row r="4" spans="1:10" ht="15" customHeight="1" x14ac:dyDescent="0.2">
      <c r="A4" s="8" t="s">
        <v>127</v>
      </c>
      <c r="B4" s="8" t="s">
        <v>128</v>
      </c>
      <c r="C4" s="8" t="s">
        <v>129</v>
      </c>
      <c r="D4" s="8" t="s">
        <v>130</v>
      </c>
      <c r="E4" s="8" t="s">
        <v>131</v>
      </c>
      <c r="F4" s="8" t="s">
        <v>132</v>
      </c>
      <c r="G4" s="8" t="s">
        <v>133</v>
      </c>
      <c r="H4" s="8" t="s">
        <v>134</v>
      </c>
      <c r="I4" s="8" t="s">
        <v>135</v>
      </c>
      <c r="J4" s="8" t="s">
        <v>136</v>
      </c>
    </row>
    <row r="5" spans="1:10" ht="15" customHeight="1" x14ac:dyDescent="0.2">
      <c r="A5" s="13" t="s">
        <v>137</v>
      </c>
      <c r="B5" s="14">
        <v>1772552.58</v>
      </c>
      <c r="C5" s="10">
        <v>2029537.58</v>
      </c>
      <c r="D5" s="10">
        <v>1055780</v>
      </c>
      <c r="E5" s="10">
        <v>179065</v>
      </c>
      <c r="F5" s="10">
        <v>80775</v>
      </c>
      <c r="G5" s="30">
        <f t="shared" ref="G5:G10" si="0">B5/F5</f>
        <v>21.94432163416899</v>
      </c>
      <c r="H5" s="30">
        <f t="shared" ref="H5:H10" si="1">C5/E5</f>
        <v>11.334083042470612</v>
      </c>
      <c r="I5" s="30">
        <f t="shared" ref="I5:I10" si="2">C5/D5</f>
        <v>1.9223110685938358</v>
      </c>
      <c r="J5" s="12">
        <v>9.2499999999999999E-2</v>
      </c>
    </row>
    <row r="6" spans="1:10" ht="15" customHeight="1" x14ac:dyDescent="0.2">
      <c r="A6" s="9" t="s">
        <v>138</v>
      </c>
      <c r="B6" s="31">
        <v>263909</v>
      </c>
      <c r="C6" s="31">
        <v>347728</v>
      </c>
      <c r="D6" s="31">
        <v>97895</v>
      </c>
      <c r="E6" s="31">
        <v>14252</v>
      </c>
      <c r="F6" s="31">
        <v>8005</v>
      </c>
      <c r="G6" s="32">
        <f t="shared" si="0"/>
        <v>32.968019987507809</v>
      </c>
      <c r="H6" s="32">
        <f t="shared" si="1"/>
        <v>24.398540555711477</v>
      </c>
      <c r="I6" s="32">
        <f t="shared" si="2"/>
        <v>3.5520506665304663</v>
      </c>
      <c r="J6" s="33">
        <v>9.8199999999999996E-2</v>
      </c>
    </row>
    <row r="7" spans="1:10" ht="15" customHeight="1" x14ac:dyDescent="0.2">
      <c r="A7" s="9" t="s">
        <v>139</v>
      </c>
      <c r="B7" s="31">
        <v>266787</v>
      </c>
      <c r="C7" s="31">
        <v>303327</v>
      </c>
      <c r="D7" s="31">
        <v>439695</v>
      </c>
      <c r="E7" s="31">
        <v>56138</v>
      </c>
      <c r="F7" s="31">
        <v>28149</v>
      </c>
      <c r="G7" s="32">
        <f t="shared" si="0"/>
        <v>9.4776723862304166</v>
      </c>
      <c r="H7" s="32">
        <f t="shared" si="1"/>
        <v>5.4032384481100149</v>
      </c>
      <c r="I7" s="32">
        <f t="shared" si="2"/>
        <v>0.68985774229863883</v>
      </c>
      <c r="J7" s="33">
        <v>0.23599999999999999</v>
      </c>
    </row>
    <row r="8" spans="1:10" ht="15" customHeight="1" x14ac:dyDescent="0.2">
      <c r="A8" s="9" t="s">
        <v>140</v>
      </c>
      <c r="B8" s="31">
        <v>535675</v>
      </c>
      <c r="C8" s="31">
        <v>613279</v>
      </c>
      <c r="D8" s="31">
        <v>255734</v>
      </c>
      <c r="E8" s="31">
        <v>34427</v>
      </c>
      <c r="F8" s="31">
        <v>17673</v>
      </c>
      <c r="G8" s="32">
        <f t="shared" si="0"/>
        <v>30.310360436824535</v>
      </c>
      <c r="H8" s="32">
        <f t="shared" si="1"/>
        <v>17.813896069945102</v>
      </c>
      <c r="I8" s="32">
        <f t="shared" si="2"/>
        <v>2.3981128829174065</v>
      </c>
      <c r="J8" s="33">
        <v>0.159</v>
      </c>
    </row>
    <row r="9" spans="1:10" ht="15" customHeight="1" x14ac:dyDescent="0.2">
      <c r="A9" s="9" t="s">
        <v>141</v>
      </c>
      <c r="B9" s="31">
        <v>1113302</v>
      </c>
      <c r="C9" s="31">
        <v>1308944</v>
      </c>
      <c r="D9" s="31">
        <v>172985</v>
      </c>
      <c r="E9" s="31">
        <v>85060</v>
      </c>
      <c r="F9" s="31">
        <v>37481</v>
      </c>
      <c r="G9" s="32">
        <f t="shared" si="0"/>
        <v>29.703102905472107</v>
      </c>
      <c r="H9" s="32">
        <f t="shared" si="1"/>
        <v>15.388478720902892</v>
      </c>
      <c r="I9" s="32">
        <f t="shared" si="2"/>
        <v>7.5668063704945512</v>
      </c>
      <c r="J9" s="33">
        <v>0.23200000000000001</v>
      </c>
    </row>
    <row r="10" spans="1:10" ht="15" customHeight="1" x14ac:dyDescent="0.2">
      <c r="A10" s="9" t="s">
        <v>142</v>
      </c>
      <c r="B10" s="31">
        <v>355462</v>
      </c>
      <c r="C10" s="31">
        <v>321027</v>
      </c>
      <c r="D10" s="31">
        <v>75323</v>
      </c>
      <c r="E10" s="31">
        <v>25839</v>
      </c>
      <c r="F10" s="31">
        <v>20104</v>
      </c>
      <c r="G10" s="32">
        <f t="shared" si="0"/>
        <v>17.681157978511738</v>
      </c>
      <c r="H10" s="32">
        <f t="shared" si="1"/>
        <v>12.424126320678045</v>
      </c>
      <c r="I10" s="32">
        <f t="shared" si="2"/>
        <v>4.2620049652828484</v>
      </c>
      <c r="J10" s="33">
        <v>0.29299999999999998</v>
      </c>
    </row>
    <row r="12" spans="1:10" ht="15" customHeight="1" x14ac:dyDescent="0.2">
      <c r="A12" s="13" t="s">
        <v>143</v>
      </c>
      <c r="B12" s="10">
        <f t="shared" ref="B12:J12" si="3">MEDIAN(B6:B10)</f>
        <v>355462</v>
      </c>
      <c r="C12" s="10">
        <f t="shared" si="3"/>
        <v>347728</v>
      </c>
      <c r="D12" s="10">
        <f t="shared" si="3"/>
        <v>172985</v>
      </c>
      <c r="E12" s="10">
        <f t="shared" si="3"/>
        <v>34427</v>
      </c>
      <c r="F12" s="10">
        <f t="shared" si="3"/>
        <v>20104</v>
      </c>
      <c r="G12" s="30">
        <f t="shared" si="3"/>
        <v>29.703102905472107</v>
      </c>
      <c r="H12" s="30">
        <f t="shared" si="3"/>
        <v>15.388478720902892</v>
      </c>
      <c r="I12" s="30">
        <f t="shared" si="3"/>
        <v>3.5520506665304663</v>
      </c>
      <c r="J12" s="12">
        <f t="shared" si="3"/>
        <v>0.23200000000000001</v>
      </c>
    </row>
    <row r="13" spans="1:10" ht="27.75" customHeight="1" x14ac:dyDescent="0.2">
      <c r="A13" s="1" t="s">
        <v>144</v>
      </c>
      <c r="B13" s="1"/>
      <c r="C13" s="1"/>
      <c r="D13" s="1"/>
      <c r="E13" s="1"/>
      <c r="F13" s="1"/>
      <c r="G13" s="1"/>
      <c r="H13" s="1"/>
      <c r="I13" s="1"/>
      <c r="J13" s="1"/>
    </row>
  </sheetData>
  <mergeCells count="3">
    <mergeCell ref="A1:J1"/>
    <mergeCell ref="A2:J2"/>
    <mergeCell ref="A13:J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showGridLines="0" tabSelected="1" zoomScaleNormal="100" workbookViewId="0">
      <selection activeCell="D19" sqref="D19"/>
    </sheetView>
  </sheetViews>
  <sheetFormatPr baseColWidth="10" defaultColWidth="8.6640625" defaultRowHeight="15" x14ac:dyDescent="0.2"/>
  <cols>
    <col min="1" max="1" width="20" customWidth="1"/>
    <col min="2" max="11" width="12" customWidth="1"/>
  </cols>
  <sheetData>
    <row r="1" spans="1:10" ht="15" customHeight="1" x14ac:dyDescent="0.2">
      <c r="A1" s="4" t="s">
        <v>145</v>
      </c>
      <c r="B1" s="4"/>
      <c r="C1" s="4"/>
      <c r="D1" s="4"/>
      <c r="E1" s="4"/>
      <c r="F1" s="4"/>
      <c r="G1" s="4"/>
      <c r="H1" s="4"/>
      <c r="I1" s="4"/>
      <c r="J1" s="4"/>
    </row>
    <row r="2" spans="1:10" ht="15" customHeight="1" x14ac:dyDescent="0.2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</row>
    <row r="4" spans="1:10" ht="15" customHeight="1" x14ac:dyDescent="0.2">
      <c r="A4" s="8" t="s">
        <v>147</v>
      </c>
      <c r="B4" s="8" t="s">
        <v>148</v>
      </c>
      <c r="C4" s="8" t="s">
        <v>149</v>
      </c>
      <c r="D4" s="8" t="s">
        <v>150</v>
      </c>
      <c r="E4" s="8" t="s">
        <v>151</v>
      </c>
      <c r="F4" s="8" t="s">
        <v>152</v>
      </c>
      <c r="G4" s="8" t="s">
        <v>153</v>
      </c>
      <c r="H4" s="8" t="s">
        <v>154</v>
      </c>
      <c r="I4" s="8" t="s">
        <v>155</v>
      </c>
      <c r="J4" s="8" t="s">
        <v>156</v>
      </c>
    </row>
    <row r="5" spans="1:10" ht="15" customHeight="1" x14ac:dyDescent="0.2">
      <c r="A5" s="34" t="s">
        <v>157</v>
      </c>
      <c r="B5" s="15">
        <v>-17239.7</v>
      </c>
      <c r="C5" s="15">
        <v>-17190.400000000001</v>
      </c>
      <c r="D5" s="15">
        <v>-17131.3</v>
      </c>
      <c r="E5" s="15">
        <v>-17059</v>
      </c>
      <c r="F5" s="15">
        <v>-16968.599999999999</v>
      </c>
      <c r="G5" s="15">
        <v>-16852.400000000001</v>
      </c>
      <c r="H5" s="15">
        <v>-16697.5</v>
      </c>
      <c r="I5" s="15">
        <v>-16480.599999999999</v>
      </c>
      <c r="J5" s="15">
        <v>-16155.3</v>
      </c>
    </row>
    <row r="6" spans="1:10" ht="15" customHeight="1" x14ac:dyDescent="0.2">
      <c r="A6" s="34" t="s">
        <v>158</v>
      </c>
      <c r="B6" s="15">
        <v>-17405.8</v>
      </c>
      <c r="C6" s="15">
        <v>-17368.2</v>
      </c>
      <c r="D6" s="15">
        <v>-17323.8</v>
      </c>
      <c r="E6" s="15">
        <v>-17270.5</v>
      </c>
      <c r="F6" s="15">
        <v>-17205.3</v>
      </c>
      <c r="G6" s="15">
        <v>-17123.900000000001</v>
      </c>
      <c r="H6" s="15">
        <v>-17019.099999999999</v>
      </c>
      <c r="I6" s="15">
        <v>-16879.5</v>
      </c>
      <c r="J6" s="15">
        <v>-16684</v>
      </c>
    </row>
    <row r="7" spans="1:10" ht="15" customHeight="1" x14ac:dyDescent="0.2">
      <c r="A7" s="34" t="s">
        <v>159</v>
      </c>
      <c r="B7" s="15">
        <v>-17546.3</v>
      </c>
      <c r="C7" s="15">
        <v>-17517.2</v>
      </c>
      <c r="D7" s="15">
        <v>-17483.2</v>
      </c>
      <c r="E7" s="15">
        <v>-17443.099999999999</v>
      </c>
      <c r="F7" s="15">
        <v>-17394.900000000001</v>
      </c>
      <c r="G7" s="15">
        <v>-17336</v>
      </c>
      <c r="H7" s="15">
        <v>-17262.400000000001</v>
      </c>
      <c r="I7" s="15">
        <v>-17167.8</v>
      </c>
      <c r="J7" s="15">
        <v>-17041.599999999999</v>
      </c>
    </row>
    <row r="8" spans="1:10" ht="15" customHeight="1" x14ac:dyDescent="0.2">
      <c r="A8" s="34" t="s">
        <v>160</v>
      </c>
      <c r="B8" s="15">
        <v>-17666.5</v>
      </c>
      <c r="C8" s="15">
        <v>-17643.599999999999</v>
      </c>
      <c r="D8" s="15">
        <v>-17617.3</v>
      </c>
      <c r="E8" s="15">
        <v>-17586.5</v>
      </c>
      <c r="F8" s="15">
        <v>-17550.099999999999</v>
      </c>
      <c r="G8" s="15">
        <v>-17506.5</v>
      </c>
      <c r="H8" s="15">
        <v>-17453.099999999999</v>
      </c>
      <c r="I8" s="15">
        <v>-17386.400000000001</v>
      </c>
      <c r="J8" s="15">
        <v>-17300.7</v>
      </c>
    </row>
    <row r="9" spans="1:10" ht="15" customHeight="1" x14ac:dyDescent="0.2">
      <c r="A9" s="34" t="s">
        <v>161</v>
      </c>
      <c r="B9" s="15">
        <v>-17770.3</v>
      </c>
      <c r="C9" s="15">
        <v>-17752.2</v>
      </c>
      <c r="D9" s="15">
        <v>-17731.400000000001</v>
      </c>
      <c r="E9" s="15">
        <v>-17707.5</v>
      </c>
      <c r="F9" s="15">
        <v>-17679.5</v>
      </c>
      <c r="G9" s="15">
        <v>-17646.5</v>
      </c>
      <c r="H9" s="15">
        <v>-17606.8</v>
      </c>
      <c r="I9" s="15">
        <v>-17558.400000000001</v>
      </c>
      <c r="J9" s="15">
        <v>-17497.8</v>
      </c>
    </row>
    <row r="10" spans="1:10" ht="15" customHeight="1" x14ac:dyDescent="0.2">
      <c r="A10" s="34" t="s">
        <v>162</v>
      </c>
      <c r="B10" s="15">
        <v>-17860.8</v>
      </c>
      <c r="C10" s="15">
        <v>-17846.2</v>
      </c>
      <c r="D10" s="15">
        <v>-17829.7</v>
      </c>
      <c r="E10" s="15">
        <v>-17810.8</v>
      </c>
      <c r="F10" s="15">
        <v>-17789</v>
      </c>
      <c r="G10" s="15">
        <v>-17763.5</v>
      </c>
      <c r="H10" s="15">
        <v>-17733.5</v>
      </c>
      <c r="I10" s="15">
        <v>-17697.400000000001</v>
      </c>
      <c r="J10" s="15">
        <v>-17653.3</v>
      </c>
    </row>
    <row r="11" spans="1:10" ht="15" customHeight="1" x14ac:dyDescent="0.2">
      <c r="A11" s="34" t="s">
        <v>163</v>
      </c>
      <c r="B11" s="15">
        <v>-17940.2</v>
      </c>
      <c r="C11" s="15">
        <v>-17928.400000000001</v>
      </c>
      <c r="D11" s="15">
        <v>-17915.099999999999</v>
      </c>
      <c r="E11" s="15">
        <v>-17900</v>
      </c>
      <c r="F11" s="15">
        <v>-17882.8</v>
      </c>
      <c r="G11" s="15">
        <v>-17862.900000000001</v>
      </c>
      <c r="H11" s="15">
        <v>-17839.7</v>
      </c>
      <c r="I11" s="15">
        <v>-17812.3</v>
      </c>
      <c r="J11" s="15">
        <v>-17779.3</v>
      </c>
    </row>
    <row r="12" spans="1:10" ht="15" customHeight="1" x14ac:dyDescent="0.2">
      <c r="A12" s="34" t="s">
        <v>164</v>
      </c>
      <c r="B12" s="15">
        <v>-18010.400000000001</v>
      </c>
      <c r="C12" s="15">
        <v>-18000.7</v>
      </c>
      <c r="D12" s="15">
        <v>-17989.900000000001</v>
      </c>
      <c r="E12" s="15">
        <v>-17977.8</v>
      </c>
      <c r="F12" s="15">
        <v>-17964</v>
      </c>
      <c r="G12" s="15">
        <v>-17948.2</v>
      </c>
      <c r="H12" s="15">
        <v>-17930</v>
      </c>
      <c r="I12" s="15">
        <v>-17908.8</v>
      </c>
      <c r="J12" s="15">
        <v>-17883.8</v>
      </c>
    </row>
    <row r="13" spans="1:10" ht="15" customHeight="1" x14ac:dyDescent="0.2">
      <c r="A13" s="34" t="s">
        <v>165</v>
      </c>
      <c r="B13" s="15">
        <v>-18072.8</v>
      </c>
      <c r="C13" s="15">
        <v>-18064.900000000001</v>
      </c>
      <c r="D13" s="15">
        <v>-18056</v>
      </c>
      <c r="E13" s="15">
        <v>-18046.099999999999</v>
      </c>
      <c r="F13" s="15">
        <v>-18035</v>
      </c>
      <c r="G13" s="15">
        <v>-18022.3</v>
      </c>
      <c r="H13" s="15">
        <v>-18007.900000000001</v>
      </c>
      <c r="I13" s="15">
        <v>-17991.3</v>
      </c>
      <c r="J13" s="15">
        <v>-17971.8</v>
      </c>
    </row>
    <row r="15" spans="1:10" ht="34.5" customHeight="1" x14ac:dyDescent="0.2">
      <c r="A15" s="1" t="s">
        <v>166</v>
      </c>
      <c r="B15" s="1"/>
      <c r="C15" s="1"/>
      <c r="D15" s="1"/>
      <c r="E15" s="1"/>
      <c r="F15" s="1"/>
      <c r="G15" s="1"/>
      <c r="H15" s="1"/>
      <c r="I15" s="1"/>
      <c r="J15" s="1"/>
    </row>
  </sheetData>
  <mergeCells count="3">
    <mergeCell ref="A1:J1"/>
    <mergeCell ref="A2:J2"/>
    <mergeCell ref="A15:J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 Financials</vt:lpstr>
      <vt:lpstr>Assumptions</vt:lpstr>
      <vt:lpstr>DCF Valuation</vt:lpstr>
      <vt:lpstr>Comps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Daipayan Majumder</cp:lastModifiedBy>
  <cp:revision>0</cp:revision>
  <dcterms:created xsi:type="dcterms:W3CDTF">2026-06-19T16:07:07Z</dcterms:created>
  <dcterms:modified xsi:type="dcterms:W3CDTF">2026-07-02T17:23:06Z</dcterms:modified>
  <dc:language>en-US</dc:language>
</cp:coreProperties>
</file>