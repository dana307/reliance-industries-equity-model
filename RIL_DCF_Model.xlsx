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istorical Financials" sheetId="1" state="visible" r:id="rId3"/>
    <sheet name="Assumptions" sheetId="2" state="visible" r:id="rId4"/>
    <sheet name="DCF Valuation" sheetId="3" state="visible" r:id="rId5"/>
    <sheet name="Comps" sheetId="4" state="visible" r:id="rId6"/>
    <sheet name="Sensitivit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<sst xmlns="http://schemas.openxmlformats.org/spreadsheetml/2006/main" count="202" uniqueCount="168">
  <si>
    <t xml:space="preserve">RELIANCE INDUSTRIES LTD  |  Historical Financials (Consolidated)  |  ₹ Crores</t>
  </si>
  <si>
    <t xml:space="preserve">Source: Screener.in  |  FY2017–FY2026  |  All figures in ₹ Crores unless stated</t>
  </si>
  <si>
    <t xml:space="preserve">PROFIT &amp; LOSS</t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</si>
  <si>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</si>
  <si>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</si>
  <si>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</si>
  <si>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</si>
  <si>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</si>
  <si>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</si>
  <si>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</si>
  <si>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</si>
  <si>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</si>
  <si>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FY2026</t>
  </si>
  <si>
    <t xml:space="preserve">Revenue (₹ Cr)</t>
  </si>
  <si>
    <t xml:space="preserve">YoY Growth (%)</t>
  </si>
  <si>
    <t xml:space="preserve">-</t>
  </si>
  <si>
    <t xml:space="preserve">EBITDA (₹ Cr)</t>
  </si>
  <si>
    <t xml:space="preserve">EBITDA Margin (%)</t>
  </si>
  <si>
    <t xml:space="preserve">Depreciation &amp; Amortisation</t>
  </si>
  <si>
    <t xml:space="preserve">EBIT (₹ Cr)</t>
  </si>
  <si>
    <t xml:space="preserve">EBIT Margin (%)</t>
  </si>
  <si>
    <t xml:space="preserve">Interest Expense</t>
  </si>
  <si>
    <t xml:space="preserve">Other Income</t>
  </si>
  <si>
    <t xml:space="preserve">Profit Before Tax</t>
  </si>
  <si>
    <t xml:space="preserve">Tax</t>
  </si>
  <si>
    <t xml:space="preserve">PAT / Net Profit (₹ Cr)</t>
  </si>
  <si>
    <t xml:space="preserve">PAT Margin (%)</t>
  </si>
  <si>
    <t xml:space="preserve">EPS (₹)</t>
  </si>
  <si>
    <t xml:space="preserve">BALANCE SHEET</t>
  </si>
  <si>
    <t xml:space="preserve">Equity Share Capital</t>
  </si>
  <si>
    <t xml:space="preserve">Reserves &amp; Surplus</t>
  </si>
  <si>
    <t xml:space="preserve">Total Equity</t>
  </si>
  <si>
    <t xml:space="preserve">Borrowings (Debt)</t>
  </si>
  <si>
    <t xml:space="preserve">Net Debt (Debt − Cash)</t>
  </si>
  <si>
    <t xml:space="preserve">Net Fixed Assets (Net Block + CWIP)</t>
  </si>
  <si>
    <t xml:space="preserve">Cash &amp; Bank Balances</t>
  </si>
  <si>
    <t xml:space="preserve">CASH FLOW STATEMENT</t>
  </si>
  <si>
    <t xml:space="preserve">Cash from Operations (CFO)</t>
  </si>
  <si>
    <t xml:space="preserve">Cash from Investing (CFI)</t>
  </si>
  <si>
    <t xml:space="preserve">Cash from Financing (CFF)</t>
  </si>
  <si>
    <t xml:space="preserve">Free Cash Flow (CFO + CFI)</t>
  </si>
  <si>
    <t xml:space="preserve">KEY METRICS &amp; RATIOS</t>
  </si>
  <si>
    <t xml:space="preserve">Return on Equity – ROE (%)</t>
  </si>
  <si>
    <t xml:space="preserve">Return on Capital Employed – ROCE (%)</t>
  </si>
  <si>
    <t xml:space="preserve">Net Debt / EBITDA (x)</t>
  </si>
  <si>
    <t xml:space="preserve">Net Profit Margin (%)</t>
  </si>
  <si>
    <t xml:space="preserve">RELIANCE INDUSTRIES LTD  |  Model Assumptions  |  ₹ Crores</t>
  </si>
  <si>
    <t xml:space="preserve">🔵 Blue = Hardcoded Input  |  ⚫ Black = Formula  |  Change blue cells to run scenarios</t>
  </si>
  <si>
    <t xml:space="preserve">WACC INPUTS</t>
  </si>
  <si>
    <t xml:space="preserve">Risk-Free Rate (10Y G-Sec Yield)</t>
  </si>
  <si>
    <t xml:space="preserve">Source: RBI, approx 10Y G-Sec yield</t>
  </si>
  <si>
    <t xml:space="preserve">Equity Beta</t>
  </si>
  <si>
    <t xml:space="preserve">Source: NSE historical 5Y beta</t>
  </si>
  <si>
    <t xml:space="preserve">Equity Risk Premium – ERP</t>
  </si>
  <si>
    <t xml:space="preserve">Damodaran India ERP estimate</t>
  </si>
  <si>
    <t xml:space="preserve">Cost of Equity [Ke = Rf + β × ERP]</t>
  </si>
  <si>
    <t xml:space="preserve">Cost of Debt (Pre-Tax)</t>
  </si>
  <si>
    <t xml:space="preserve">Estimated from interest / avg debt</t>
  </si>
  <si>
    <t xml:space="preserve">Effective Tax Rate</t>
  </si>
  <si>
    <t xml:space="preserve">Estimated based on FY26 PAT/PBT</t>
  </si>
  <si>
    <t xml:space="preserve">Cost of Debt (Post-Tax) [Kd × (1−t)]</t>
  </si>
  <si>
    <t xml:space="preserve">Market Capitalisation (₹ Cr)</t>
  </si>
  <si>
    <t xml:space="preserve">Source: Screener.in, Jun 2025</t>
  </si>
  <si>
    <t xml:space="preserve">Total Debt (₹ Cr)</t>
  </si>
  <si>
    <t xml:space="preserve">Source: FY2026 Balance Sheet</t>
  </si>
  <si>
    <t xml:space="preserve">Total Capital [MktCap + Debt]</t>
  </si>
  <si>
    <t xml:space="preserve">Weight of Equity [MktCap / Total]</t>
  </si>
  <si>
    <t xml:space="preserve">Weight of Debt [Debt / Total]</t>
  </si>
  <si>
    <t xml:space="preserve">WACC [Ke×We + Kd×Wd]</t>
  </si>
  <si>
    <t xml:space="preserve">REVENUE &amp; MARGIN ASSUMPTIONS (FY27–FY31)</t>
  </si>
  <si>
    <t xml:space="preserve">Assumption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</si>
  <si>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</si>
  <si>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</si>
  <si>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</si>
  <si>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</si>
  <si>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</si>
  <si>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Revenue Growth (%)</t>
  </si>
  <si>
    <t xml:space="preserve">D&amp;A as % of Revenue</t>
  </si>
  <si>
    <t xml:space="preserve">Capex as % of Revenue</t>
  </si>
  <si>
    <t xml:space="preserve">TERMINAL VALUE ASSUMPTIONS</t>
  </si>
  <si>
    <t xml:space="preserve">Terminal Growth Rate (g)</t>
  </si>
  <si>
    <t xml:space="preserve">Approx. India nominal LT GDP growth</t>
  </si>
  <si>
    <t xml:space="preserve">Shares Outstanding (Cr)</t>
  </si>
  <si>
    <t xml:space="preserve">Source: Screener.in, adjusted shares</t>
  </si>
  <si>
    <t xml:space="preserve">Current Market Price (₹)</t>
  </si>
  <si>
    <t xml:space="preserve">Source: NSE/BSE, Jun 2025</t>
  </si>
  <si>
    <t xml:space="preserve">Net Debt – FY2026 (₹ Cr)</t>
  </si>
  <si>
    <t xml:space="preserve">Borrowings 402,962 − Cash 145,977</t>
  </si>
  <si>
    <t xml:space="preserve">RELIANCE INDUSTRIES LTD  |  DCF Valuation  |  ₹ Crores  |  5-Year Explicit Forecast (FY27–FY31)</t>
  </si>
  <si>
    <t xml:space="preserve">⚫ Formulas pull from Assumptions sheet  |  FCFF-based DCF  |  Year-end discounting</t>
  </si>
  <si>
    <t xml:space="preserve">PROJECTED P&amp;L</t>
  </si>
  <si>
    <t xml:space="preserve">FY2026A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</si>
  <si>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</si>
  <si>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</si>
  <si>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</si>
  <si>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</si>
  <si>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</si>
  <si>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Revenue</t>
  </si>
  <si>
    <t xml:space="preserve">  YoY Revenue Growth (%)</t>
  </si>
  <si>
    <t xml:space="preserve">EBITDA</t>
  </si>
  <si>
    <t xml:space="preserve">  EBITDA Margin (%)</t>
  </si>
  <si>
    <t xml:space="preserve">Depreciation &amp; Amortisation (D&amp;A)</t>
  </si>
  <si>
    <t xml:space="preserve">EBIT (Operating Profit)</t>
  </si>
  <si>
    <t xml:space="preserve">  EBIT Margin (%)</t>
  </si>
  <si>
    <t xml:space="preserve">NOPAT  [EBIT × (1 − Tax Rate)]</t>
  </si>
  <si>
    <t xml:space="preserve">  Add: D&amp;A</t>
  </si>
  <si>
    <t xml:space="preserve">  Less: Capital Expenditure (Capex)</t>
  </si>
  <si>
    <t xml:space="preserve">FREE CASH FLOW TO FIRM (FCFF)</t>
  </si>
  <si>
    <t xml:space="preserve">DISCOUNTING  (Year-End Convention)</t>
  </si>
  <si>
    <t xml:space="preserve">Discount Period (years)</t>
  </si>
  <si>
    <t xml:space="preserve">Discount Factor  [1 / (1+WACC)^n]</t>
  </si>
  <si>
    <t xml:space="preserve">PV of FCFF</t>
  </si>
  <si>
    <t xml:space="preserve">Sum of PV of FCFFs (A)</t>
  </si>
  <si>
    <t xml:space="preserve">TERMINAL VALUE</t>
  </si>
  <si>
    <t xml:space="preserve">Terminal Year FCFF (FY31)</t>
  </si>
  <si>
    <t xml:space="preserve">WACC</t>
  </si>
  <si>
    <t xml:space="preserve">Terminal Value  [FCFF × (1+g) / (WACC − g)]</t>
  </si>
  <si>
    <t xml:space="preserve">Terminal Value Discount Factor  [1/(1+WACC)^5]</t>
  </si>
  <si>
    <t xml:space="preserve">PV of Terminal Value (B)</t>
  </si>
  <si>
    <t xml:space="preserve">EQUITY VALUE BRIDGE</t>
  </si>
  <si>
    <t xml:space="preserve">Enterprise Value  [A + B]</t>
  </si>
  <si>
    <t xml:space="preserve">  Less: Net Debt (FY2026)</t>
  </si>
  <si>
    <t xml:space="preserve">Equity Value</t>
  </si>
  <si>
    <t xml:space="preserve">IMPLIED PRICE PER SHARE (₹)</t>
  </si>
  <si>
    <t xml:space="preserve">Upside / (Downside) vs Market Price (%)</t>
  </si>
  <si>
    <t xml:space="preserve">📌 NOTE: Reliance is a diversified conglomerate (O2C, Retail, Jio, New Energy). A single-entity FCFF DCF may undervalue it — a Sum-of-the-Parts (SOTP) model per segment would be the next step in a full analysis.</t>
  </si>
  <si>
    <t xml:space="preserve">RELIANCE INDUSTRIES LTD  |  Comparable Company Analysis (Comps)</t>
  </si>
  <si>
    <t xml:space="preserve">Source: NSE/BSE, Company Filings | All ₹ Cr | Fill in peer data from Screener.in</t>
  </si>
  <si>
    <t xml:space="preserve">Company</t>
  </si>
  <si>
    <t xml:space="preserve">Mkt Cap (₹Cr)</t>
  </si>
  <si>
    <t xml:space="preserve">EV (₹Cr)</t>
  </si>
  <si>
    <t xml:space="preserve">Revenue (₹Cr)</t>
  </si>
  <si>
    <t xml:space="preserve">EBITDA (₹Cr)</t>
  </si>
  <si>
    <t xml:space="preserve">PAT (₹Cr)</t>
  </si>
  <si>
    <t xml:space="preserve">P/E (x)</t>
  </si>
  <si>
    <t xml:space="preserve">EV/EBITDA (x)</t>
  </si>
  <si>
    <t xml:space="preserve">EV/Sales (x)</t>
  </si>
  <si>
    <t xml:space="preserve">ROE (%)</t>
  </si>
  <si>
    <t xml:space="preserve">Reliance Industries</t>
  </si>
  <si>
    <t xml:space="preserve">Adani Enterprises</t>
  </si>
  <si>
    <t xml:space="preserve">Tata Motors</t>
  </si>
  <si>
    <t xml:space="preserve">Larsen &amp; Toubro</t>
  </si>
  <si>
    <t xml:space="preserve">Bharti Airtel</t>
  </si>
  <si>
    <t xml:space="preserve">ITC</t>
  </si>
  <si>
    <t xml:space="preserve">Median (Peers)</t>
  </si>
  <si>
    <t xml:space="preserve">💡 HOW TO USE: Fill in the blue cells with peer data from Screener.in. EV = Mkt Cap + Total Debt − Cash. P/E = Mkt Cap / PAT. EV/EBITDA and EV/Sales compute automatically.</t>
  </si>
  <si>
    <t xml:space="preserve">RELIANCE INDUSTRIES LTD  |  Sensitivity Analysis  |  Implied Price per Share (₹)</t>
  </si>
  <si>
    <t xml:space="preserve">Rows: WACC  |  Columns: Terminal Growth Rate (g)  |  Base case highlighted in gold</t>
  </si>
  <si>
    <t xml:space="preserve">WACC \ g →</t>
  </si>
  <si>
    <t xml:space="preserve">30.0%</t>
  </si>
  <si>
    <t xml:space="preserve">35.0%</t>
  </si>
  <si>
    <t xml:space="preserve">40.0%</t>
  </si>
  <si>
    <t xml:space="preserve">45.0%</t>
  </si>
  <si>
    <t xml:space="preserve">50.0%</t>
  </si>
  <si>
    <t xml:space="preserve">55.0%</t>
  </si>
  <si>
    <t xml:space="preserve">60.0%</t>
  </si>
  <si>
    <t xml:space="preserve">65.0%</t>
  </si>
  <si>
    <t xml:space="preserve">70.0%</t>
  </si>
  <si>
    <t xml:space="preserve">90.0%</t>
  </si>
  <si>
    <t xml:space="preserve">95.0%</t>
  </si>
  <si>
    <t xml:space="preserve">100.0%</t>
  </si>
  <si>
    <t xml:space="preserve">105.0%</t>
  </si>
  <si>
    <t xml:space="preserve">110.0%</t>
  </si>
  <si>
    <t xml:space="preserve">115.0%</t>
  </si>
  <si>
    <t xml:space="preserve">120.0%</t>
  </si>
  <si>
    <t xml:space="preserve">125.0%</t>
  </si>
  <si>
    <t xml:space="preserve">130.0%</t>
  </si>
  <si>
    <t xml:space="preserve">🏷️  Base case: WACC = 11%, g = 5%.  Current market price: ₹1,309.5.  Light blue cells = implied price exceeds current market price (upside scenarios).  Gap vs market price reflects Reliance's embedded growth optionality (Jio, Retail, New Energy).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</si>
</sst>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0.0%;\(0.0%\);\-"/>
    <numFmt numFmtId="167" formatCode="#,##0.0;\(#,##0.0\);\-"/>
    <numFmt numFmtId="168" formatCode="0.0\x;\(0.0&quot;x)&quot;;\-"/>
    <numFmt numFmtId="169" formatCode="0"/>
    <numFmt numFmtId="170" formatCode="0.0000"/>
    <numFmt numFmtId="171" formatCode="0.00"/>
    <numFmt numFmtId="172" formatCode="0.0\x"/>
    <numFmt numFmtId="173" formatCode="0.0%;\(0.0%\);\-"/>
    <numFmt numFmtId="174" formatCode="#,##0;\(#,##0\);\-"/>
    <numFmt numFmtId="175" formatCode="0.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97D"/>
        <bgColor rgb="FF003366"/>
      </patternFill>
    </fill>
    <fill>
      <patternFill patternType="solid">
        <fgColor rgb="FFB8CCE4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12" min="2" style="1" width="11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15" hidden="false" customHeight="true" outlineLevel="0" collapsed="false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true" outlineLevel="0" collapsed="false">
      <c r="A5" s="6"/>
      <c r="B5" s="6" t="s">
        <v>3</v>
      </c>
      <c r="C5" s="6" t="s">
        <v>4</v>
      </c>
      <c r="D5" s="6" t="s">
        <v>5</v>
      </c>
      <c r="E5" s="6" t="s">
        <v>6</v>
      </c>
      <c r="F5" s="6" t="s">
        <v>7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12</v>
      </c>
    </row>
    <row r="6" customFormat="false" ht="15" hidden="false" customHeight="true" outlineLevel="0" collapsed="false">
      <c r="A6" s="7" t="s">
        <v>13</v>
      </c>
      <c r="B6" s="8" t="n">
        <v>303954</v>
      </c>
      <c r="C6" s="8" t="n">
        <v>390823</v>
      </c>
      <c r="D6" s="8" t="n">
        <v>568337</v>
      </c>
      <c r="E6" s="8" t="n">
        <v>596679</v>
      </c>
      <c r="F6" s="8" t="n">
        <v>466307</v>
      </c>
      <c r="G6" s="8" t="n">
        <v>694673</v>
      </c>
      <c r="H6" s="8" t="n">
        <v>876396</v>
      </c>
      <c r="I6" s="8" t="n">
        <v>899041</v>
      </c>
      <c r="J6" s="8" t="n">
        <v>962820</v>
      </c>
      <c r="K6" s="8" t="n">
        <v>1055780</v>
      </c>
    </row>
    <row r="7" customFormat="false" ht="15" hidden="false" customHeight="true" outlineLevel="0" collapsed="false">
      <c r="A7" s="7" t="s">
        <v>14</v>
      </c>
      <c r="B7" s="9" t="s">
        <v>15</v>
      </c>
      <c r="C7" s="10" t="n">
        <f aca="false">(C6/B6)-1</f>
        <v>0.285796535002007</v>
      </c>
      <c r="D7" s="10" t="n">
        <f aca="false">(D6/C6)-1</f>
        <v>0.454205612259258</v>
      </c>
      <c r="E7" s="10" t="n">
        <f aca="false">(E6/D6)-1</f>
        <v>0.0498682999699123</v>
      </c>
      <c r="F7" s="10" t="n">
        <f aca="false">(F6/E6)-1</f>
        <v>-0.218496042260579</v>
      </c>
      <c r="G7" s="10" t="n">
        <f aca="false">(G6/F6)-1</f>
        <v>0.489733158627256</v>
      </c>
      <c r="H7" s="10" t="n">
        <f aca="false">(H6/G6)-1</f>
        <v>0.261595023845752</v>
      </c>
      <c r="I7" s="10" t="n">
        <f aca="false">(I6/H6)-1</f>
        <v>0.0258387760783938</v>
      </c>
      <c r="J7" s="10" t="n">
        <f aca="false">(J6/I6)-1</f>
        <v>0.070941147289167</v>
      </c>
      <c r="K7" s="10" t="n">
        <f aca="false">(K6/J6)-1</f>
        <v>0.0965497185351363</v>
      </c>
    </row>
    <row r="8" customFormat="false" ht="15" hidden="false" customHeight="true" outlineLevel="0" collapsed="false">
      <c r="A8" s="7" t="s">
        <v>16</v>
      </c>
      <c r="B8" s="8" t="n">
        <v>46307</v>
      </c>
      <c r="C8" s="8" t="n">
        <v>64315</v>
      </c>
      <c r="D8" s="8" t="n">
        <v>84250</v>
      </c>
      <c r="E8" s="8" t="n">
        <v>89266</v>
      </c>
      <c r="F8" s="8" t="n">
        <v>80790</v>
      </c>
      <c r="G8" s="8" t="n">
        <v>108581</v>
      </c>
      <c r="H8" s="8" t="n">
        <v>142318</v>
      </c>
      <c r="I8" s="8" t="n">
        <v>162498</v>
      </c>
      <c r="J8" s="8" t="n">
        <v>165598</v>
      </c>
      <c r="K8" s="8" t="n">
        <v>179065</v>
      </c>
    </row>
    <row r="9" customFormat="false" ht="15" hidden="false" customHeight="true" outlineLevel="0" collapsed="false">
      <c r="A9" s="7" t="s">
        <v>17</v>
      </c>
      <c r="B9" s="10" t="n">
        <f aca="false">B8/B6</f>
        <v>0.152348710660166</v>
      </c>
      <c r="C9" s="10" t="n">
        <f aca="false">C8/C6</f>
        <v>0.164562986313497</v>
      </c>
      <c r="D9" s="10" t="n">
        <f aca="false">D8/D6</f>
        <v>0.148239512824257</v>
      </c>
      <c r="E9" s="10" t="n">
        <f aca="false">E8/E6</f>
        <v>0.149604728840801</v>
      </c>
      <c r="F9" s="10" t="n">
        <f aca="false">F8/F6</f>
        <v>0.173254958643126</v>
      </c>
      <c r="G9" s="10" t="n">
        <f aca="false">G8/G6</f>
        <v>0.156305196833618</v>
      </c>
      <c r="H9" s="10" t="n">
        <f aca="false">H8/H6</f>
        <v>0.162390061113926</v>
      </c>
      <c r="I9" s="10" t="n">
        <f aca="false">I8/I6</f>
        <v>0.18074592816123</v>
      </c>
      <c r="J9" s="10" t="n">
        <f aca="false">J8/J6</f>
        <v>0.17199268814524</v>
      </c>
      <c r="K9" s="10" t="n">
        <f aca="false">K8/K6</f>
        <v>0.169604463051014</v>
      </c>
    </row>
    <row r="10" customFormat="false" ht="15" hidden="false" customHeight="true" outlineLevel="0" collapsed="false">
      <c r="A10" s="7" t="s">
        <v>18</v>
      </c>
      <c r="B10" s="8" t="n">
        <v>11646</v>
      </c>
      <c r="C10" s="8" t="n">
        <v>16706</v>
      </c>
      <c r="D10" s="8" t="n">
        <v>20934</v>
      </c>
      <c r="E10" s="8" t="n">
        <v>22203</v>
      </c>
      <c r="F10" s="8" t="n">
        <v>26572</v>
      </c>
      <c r="G10" s="8" t="n">
        <v>29782</v>
      </c>
      <c r="H10" s="8" t="n">
        <v>40303</v>
      </c>
      <c r="I10" s="8" t="n">
        <v>50832</v>
      </c>
      <c r="J10" s="8" t="n">
        <v>53136</v>
      </c>
      <c r="K10" s="8" t="n">
        <v>57688</v>
      </c>
    </row>
    <row r="11" customFormat="false" ht="15" hidden="false" customHeight="true" outlineLevel="0" collapsed="false">
      <c r="A11" s="7" t="s">
        <v>19</v>
      </c>
      <c r="B11" s="8" t="n">
        <v>34661</v>
      </c>
      <c r="C11" s="8" t="n">
        <v>47609</v>
      </c>
      <c r="D11" s="8" t="n">
        <v>63316</v>
      </c>
      <c r="E11" s="8" t="n">
        <v>67063</v>
      </c>
      <c r="F11" s="8" t="n">
        <v>54218</v>
      </c>
      <c r="G11" s="8" t="n">
        <v>78799</v>
      </c>
      <c r="H11" s="8" t="n">
        <v>102015</v>
      </c>
      <c r="I11" s="8" t="n">
        <v>111666</v>
      </c>
      <c r="J11" s="8" t="n">
        <v>112462</v>
      </c>
      <c r="K11" s="8" t="n">
        <v>121377</v>
      </c>
    </row>
    <row r="12" customFormat="false" ht="15" hidden="false" customHeight="true" outlineLevel="0" collapsed="false">
      <c r="A12" s="7" t="s">
        <v>20</v>
      </c>
      <c r="B12" s="10" t="n">
        <f aca="false">B11/B6</f>
        <v>0.114033702468137</v>
      </c>
      <c r="C12" s="10" t="n">
        <f aca="false">C11/C6</f>
        <v>0.121817293250397</v>
      </c>
      <c r="D12" s="10" t="n">
        <f aca="false">D11/D6</f>
        <v>0.11140573286624</v>
      </c>
      <c r="E12" s="10" t="n">
        <f aca="false">E11/E6</f>
        <v>0.112393766162375</v>
      </c>
      <c r="F12" s="10" t="n">
        <f aca="false">F11/F6</f>
        <v>0.116271040323221</v>
      </c>
      <c r="G12" s="10" t="n">
        <f aca="false">G11/G6</f>
        <v>0.113433226856377</v>
      </c>
      <c r="H12" s="10" t="n">
        <f aca="false">H11/H6</f>
        <v>0.116402858981556</v>
      </c>
      <c r="I12" s="10" t="n">
        <f aca="false">I11/I6</f>
        <v>0.124205681387167</v>
      </c>
      <c r="J12" s="10" t="n">
        <f aca="false">J11/J6</f>
        <v>0.116804802559149</v>
      </c>
      <c r="K12" s="10" t="n">
        <f aca="false">K11/K6</f>
        <v>0.114964291803217</v>
      </c>
    </row>
    <row r="13" customFormat="false" ht="15" hidden="false" customHeight="true" outlineLevel="0" collapsed="false">
      <c r="A13" s="7" t="s">
        <v>21</v>
      </c>
      <c r="B13" s="8" t="n">
        <v>3849</v>
      </c>
      <c r="C13" s="8" t="n">
        <v>8052</v>
      </c>
      <c r="D13" s="8" t="n">
        <v>16495</v>
      </c>
      <c r="E13" s="8" t="n">
        <v>22027</v>
      </c>
      <c r="F13" s="8" t="n">
        <v>21189</v>
      </c>
      <c r="G13" s="8" t="n">
        <v>14584</v>
      </c>
      <c r="H13" s="8" t="n">
        <v>19571</v>
      </c>
      <c r="I13" s="8" t="n">
        <v>23118</v>
      </c>
      <c r="J13" s="8" t="n">
        <v>24269</v>
      </c>
      <c r="K13" s="8" t="n">
        <v>27061</v>
      </c>
    </row>
    <row r="14" customFormat="false" ht="15" hidden="false" customHeight="true" outlineLevel="0" collapsed="false">
      <c r="A14" s="7" t="s">
        <v>22</v>
      </c>
      <c r="B14" s="8" t="n">
        <v>9222</v>
      </c>
      <c r="C14" s="8" t="n">
        <v>9869</v>
      </c>
      <c r="D14" s="8" t="n">
        <v>8406</v>
      </c>
      <c r="E14" s="8" t="n">
        <v>8570</v>
      </c>
      <c r="F14" s="8" t="n">
        <v>22432</v>
      </c>
      <c r="G14" s="8" t="n">
        <v>19600</v>
      </c>
      <c r="H14" s="8" t="n">
        <v>12020</v>
      </c>
      <c r="I14" s="8" t="n">
        <v>15792</v>
      </c>
      <c r="J14" s="8" t="n">
        <v>17824</v>
      </c>
      <c r="K14" s="8" t="n">
        <v>28846</v>
      </c>
    </row>
    <row r="15" customFormat="false" ht="15" hidden="false" customHeight="true" outlineLevel="0" collapsed="false">
      <c r="A15" s="7" t="s">
        <v>23</v>
      </c>
      <c r="B15" s="8" t="n">
        <v>40034</v>
      </c>
      <c r="C15" s="8" t="n">
        <v>49426</v>
      </c>
      <c r="D15" s="8" t="n">
        <v>55227</v>
      </c>
      <c r="E15" s="8" t="n">
        <v>53606</v>
      </c>
      <c r="F15" s="8" t="n">
        <v>55461</v>
      </c>
      <c r="G15" s="8" t="n">
        <v>83815</v>
      </c>
      <c r="H15" s="8" t="n">
        <v>94464</v>
      </c>
      <c r="I15" s="8" t="n">
        <v>104340</v>
      </c>
      <c r="J15" s="8" t="n">
        <v>106017</v>
      </c>
      <c r="K15" s="8" t="n">
        <v>123162</v>
      </c>
    </row>
    <row r="16" customFormat="false" ht="15" hidden="false" customHeight="true" outlineLevel="0" collapsed="false">
      <c r="A16" s="7" t="s">
        <v>24</v>
      </c>
      <c r="B16" s="8" t="n">
        <v>10201</v>
      </c>
      <c r="C16" s="8" t="n">
        <v>13346</v>
      </c>
      <c r="D16" s="8" t="n">
        <v>15390</v>
      </c>
      <c r="E16" s="8" t="n">
        <v>13726</v>
      </c>
      <c r="F16" s="8" t="n">
        <v>1722</v>
      </c>
      <c r="G16" s="8" t="n">
        <v>15970</v>
      </c>
      <c r="H16" s="8" t="n">
        <v>20376</v>
      </c>
      <c r="I16" s="8" t="n">
        <v>25707</v>
      </c>
      <c r="J16" s="8" t="n">
        <v>25230</v>
      </c>
      <c r="K16" s="8" t="n">
        <v>27552</v>
      </c>
    </row>
    <row r="17" customFormat="false" ht="15" hidden="false" customHeight="true" outlineLevel="0" collapsed="false">
      <c r="A17" s="11" t="s">
        <v>25</v>
      </c>
      <c r="B17" s="12" t="n">
        <v>29901</v>
      </c>
      <c r="C17" s="12" t="n">
        <v>36075</v>
      </c>
      <c r="D17" s="12" t="n">
        <v>39588</v>
      </c>
      <c r="E17" s="12" t="n">
        <v>39354</v>
      </c>
      <c r="F17" s="12" t="n">
        <v>49128</v>
      </c>
      <c r="G17" s="12" t="n">
        <v>60705</v>
      </c>
      <c r="H17" s="12" t="n">
        <v>66702</v>
      </c>
      <c r="I17" s="12" t="n">
        <v>69621</v>
      </c>
      <c r="J17" s="12" t="n">
        <v>69648</v>
      </c>
      <c r="K17" s="12" t="n">
        <v>80775</v>
      </c>
    </row>
    <row r="18" customFormat="false" ht="15" hidden="false" customHeight="true" outlineLevel="0" collapsed="false">
      <c r="A18" s="7" t="s">
        <v>26</v>
      </c>
      <c r="B18" s="10" t="n">
        <f aca="false">B17/B6</f>
        <v>0.0983734380860262</v>
      </c>
      <c r="C18" s="10" t="n">
        <f aca="false">C17/C6</f>
        <v>0.0923052123339722</v>
      </c>
      <c r="D18" s="10" t="n">
        <f aca="false">D17/D6</f>
        <v>0.0696558555927205</v>
      </c>
      <c r="E18" s="10" t="n">
        <f aca="false">E17/E6</f>
        <v>0.0659550612640968</v>
      </c>
      <c r="F18" s="10" t="n">
        <f aca="false">F17/F6</f>
        <v>0.105355484691416</v>
      </c>
      <c r="G18" s="10" t="n">
        <f aca="false">G17/G6</f>
        <v>0.0873864393750729</v>
      </c>
      <c r="H18" s="10" t="n">
        <f aca="false">H17/H6</f>
        <v>0.076109429983706</v>
      </c>
      <c r="I18" s="10" t="n">
        <f aca="false">I17/I6</f>
        <v>0.0774391824177095</v>
      </c>
      <c r="J18" s="10" t="n">
        <f aca="false">J17/J6</f>
        <v>0.0723375085685798</v>
      </c>
      <c r="K18" s="10" t="n">
        <f aca="false">K17/K6</f>
        <v>0.0765074163177935</v>
      </c>
    </row>
    <row r="19" customFormat="false" ht="15" hidden="false" customHeight="true" outlineLevel="0" collapsed="false">
      <c r="A19" s="7" t="s">
        <v>27</v>
      </c>
      <c r="B19" s="13" t="n">
        <v>22.1</v>
      </c>
      <c r="C19" s="13" t="n">
        <v>26.66</v>
      </c>
      <c r="D19" s="13" t="n">
        <v>29.25</v>
      </c>
      <c r="E19" s="13" t="n">
        <v>29.08</v>
      </c>
      <c r="F19" s="13" t="n">
        <v>36.3</v>
      </c>
      <c r="G19" s="13" t="n">
        <v>44.86</v>
      </c>
      <c r="H19" s="13" t="n">
        <v>49.29</v>
      </c>
      <c r="I19" s="13" t="n">
        <v>51.45</v>
      </c>
      <c r="J19" s="13" t="n">
        <v>51.47</v>
      </c>
      <c r="K19" s="13" t="n">
        <v>59.69</v>
      </c>
    </row>
    <row r="21" customFormat="false" ht="15" hidden="false" customHeight="true" outlineLevel="0" collapsed="false">
      <c r="A21" s="4" t="s">
        <v>28</v>
      </c>
      <c r="B21" s="5"/>
      <c r="C21" s="5"/>
      <c r="D21" s="5"/>
      <c r="E21" s="5"/>
      <c r="F21" s="5"/>
      <c r="G21" s="5"/>
      <c r="H21" s="5"/>
      <c r="I21" s="5"/>
      <c r="J21" s="5"/>
      <c r="K21" s="5"/>
    </row>
    <row r="22" customFormat="false" ht="15" hidden="false" customHeight="true" outlineLevel="0" collapsed="false">
      <c r="A22" s="6"/>
      <c r="B22" s="6" t="s">
        <v>3</v>
      </c>
      <c r="C22" s="6" t="s">
        <v>4</v>
      </c>
      <c r="D22" s="6" t="s">
        <v>5</v>
      </c>
      <c r="E22" s="6" t="s">
        <v>6</v>
      </c>
      <c r="F22" s="6" t="s">
        <v>7</v>
      </c>
      <c r="G22" s="6" t="s">
        <v>8</v>
      </c>
      <c r="H22" s="6" t="s">
        <v>9</v>
      </c>
      <c r="I22" s="6" t="s">
        <v>10</v>
      </c>
      <c r="J22" s="6" t="s">
        <v>11</v>
      </c>
      <c r="K22" s="6" t="s">
        <v>12</v>
      </c>
    </row>
    <row r="23" customFormat="false" ht="15" hidden="false" customHeight="true" outlineLevel="0" collapsed="false">
      <c r="A23" s="7" t="s">
        <v>29</v>
      </c>
      <c r="B23" s="8" t="n">
        <v>2959</v>
      </c>
      <c r="C23" s="8" t="n">
        <v>5922</v>
      </c>
      <c r="D23" s="8" t="n">
        <v>5926</v>
      </c>
      <c r="E23" s="8" t="n">
        <v>6339</v>
      </c>
      <c r="F23" s="8" t="n">
        <v>6445</v>
      </c>
      <c r="G23" s="8" t="n">
        <v>6765</v>
      </c>
      <c r="H23" s="8" t="n">
        <v>6766</v>
      </c>
      <c r="I23" s="8" t="n">
        <v>6766</v>
      </c>
      <c r="J23" s="8" t="n">
        <v>13532</v>
      </c>
      <c r="K23" s="8" t="n">
        <v>13532</v>
      </c>
    </row>
    <row r="24" customFormat="false" ht="15" hidden="false" customHeight="true" outlineLevel="0" collapsed="false">
      <c r="A24" s="7" t="s">
        <v>30</v>
      </c>
      <c r="B24" s="8" t="n">
        <v>260750</v>
      </c>
      <c r="C24" s="8" t="n">
        <v>287584</v>
      </c>
      <c r="D24" s="8" t="n">
        <v>381186</v>
      </c>
      <c r="E24" s="8" t="n">
        <v>442827</v>
      </c>
      <c r="F24" s="8" t="n">
        <v>693727</v>
      </c>
      <c r="G24" s="8" t="n">
        <v>772720</v>
      </c>
      <c r="H24" s="8" t="n">
        <v>709106</v>
      </c>
      <c r="I24" s="8" t="n">
        <v>786715</v>
      </c>
      <c r="J24" s="8" t="n">
        <v>829668</v>
      </c>
      <c r="K24" s="8" t="n">
        <v>890498</v>
      </c>
    </row>
    <row r="25" customFormat="false" ht="15" hidden="false" customHeight="true" outlineLevel="0" collapsed="false">
      <c r="A25" s="11" t="s">
        <v>31</v>
      </c>
      <c r="B25" s="12" t="n">
        <v>263709</v>
      </c>
      <c r="C25" s="12" t="n">
        <v>293506</v>
      </c>
      <c r="D25" s="12" t="n">
        <v>387112</v>
      </c>
      <c r="E25" s="12" t="n">
        <v>449166</v>
      </c>
      <c r="F25" s="12" t="n">
        <v>700172</v>
      </c>
      <c r="G25" s="12" t="n">
        <v>779485</v>
      </c>
      <c r="H25" s="12" t="n">
        <v>715872</v>
      </c>
      <c r="I25" s="12" t="n">
        <v>793481</v>
      </c>
      <c r="J25" s="12" t="n">
        <v>843200</v>
      </c>
      <c r="K25" s="12" t="n">
        <v>904030</v>
      </c>
    </row>
    <row r="26" customFormat="false" ht="15" hidden="false" customHeight="true" outlineLevel="0" collapsed="false">
      <c r="A26" s="7" t="s">
        <v>32</v>
      </c>
      <c r="B26" s="8" t="n">
        <v>217475</v>
      </c>
      <c r="C26" s="8" t="n">
        <v>239843</v>
      </c>
      <c r="D26" s="8" t="n">
        <v>307714</v>
      </c>
      <c r="E26" s="8" t="n">
        <v>355133</v>
      </c>
      <c r="F26" s="8" t="n">
        <v>278962</v>
      </c>
      <c r="G26" s="8" t="n">
        <v>319158</v>
      </c>
      <c r="H26" s="8" t="n">
        <v>451664</v>
      </c>
      <c r="I26" s="8" t="n">
        <v>350719</v>
      </c>
      <c r="J26" s="8" t="n">
        <v>374313</v>
      </c>
      <c r="K26" s="8" t="n">
        <v>402962</v>
      </c>
    </row>
    <row r="27" customFormat="false" ht="15" hidden="false" customHeight="true" outlineLevel="0" collapsed="false">
      <c r="A27" s="11" t="s">
        <v>33</v>
      </c>
      <c r="B27" s="12" t="n">
        <v>214452</v>
      </c>
      <c r="C27" s="12" t="n">
        <v>235588</v>
      </c>
      <c r="D27" s="12" t="n">
        <v>296633</v>
      </c>
      <c r="E27" s="12" t="n">
        <v>324213</v>
      </c>
      <c r="F27" s="12" t="n">
        <v>261565</v>
      </c>
      <c r="G27" s="12" t="n">
        <v>282980</v>
      </c>
      <c r="H27" s="12" t="n">
        <v>383000</v>
      </c>
      <c r="I27" s="12" t="n">
        <v>253494</v>
      </c>
      <c r="J27" s="12" t="n">
        <v>267811</v>
      </c>
      <c r="K27" s="12" t="n">
        <v>256985</v>
      </c>
    </row>
    <row r="28" customFormat="false" ht="15" hidden="false" customHeight="true" outlineLevel="0" collapsed="false">
      <c r="A28" s="7" t="s">
        <v>34</v>
      </c>
      <c r="B28" s="8" t="n">
        <v>523363</v>
      </c>
      <c r="C28" s="8" t="n">
        <v>590907</v>
      </c>
      <c r="D28" s="8" t="n">
        <v>577837</v>
      </c>
      <c r="E28" s="8" t="n">
        <v>641764</v>
      </c>
      <c r="F28" s="8" t="n">
        <v>667211</v>
      </c>
      <c r="G28" s="8" t="n">
        <v>800304</v>
      </c>
      <c r="H28" s="8" t="n">
        <v>1018557</v>
      </c>
      <c r="I28" s="8" t="n">
        <v>1118840</v>
      </c>
      <c r="J28" s="8" t="n">
        <v>1261751</v>
      </c>
      <c r="K28" s="8" t="n">
        <v>1362481</v>
      </c>
    </row>
    <row r="29" customFormat="false" ht="15" hidden="false" customHeight="true" outlineLevel="0" collapsed="false">
      <c r="A29" s="7" t="s">
        <v>35</v>
      </c>
      <c r="B29" s="8" t="n">
        <v>3023</v>
      </c>
      <c r="C29" s="8" t="n">
        <v>4255</v>
      </c>
      <c r="D29" s="8" t="n">
        <v>11081</v>
      </c>
      <c r="E29" s="8" t="n">
        <v>30920</v>
      </c>
      <c r="F29" s="8" t="n">
        <v>17397</v>
      </c>
      <c r="G29" s="8" t="n">
        <v>36178</v>
      </c>
      <c r="H29" s="8" t="n">
        <v>68664</v>
      </c>
      <c r="I29" s="8" t="n">
        <v>97225</v>
      </c>
      <c r="J29" s="8" t="n">
        <v>106502</v>
      </c>
      <c r="K29" s="8" t="n">
        <v>145977</v>
      </c>
    </row>
    <row r="31" customFormat="false" ht="15" hidden="false" customHeight="true" outlineLevel="0" collapsed="false">
      <c r="A31" s="4" t="s">
        <v>36</v>
      </c>
      <c r="B31" s="5"/>
      <c r="C31" s="5"/>
      <c r="D31" s="5"/>
      <c r="E31" s="5"/>
      <c r="F31" s="5"/>
      <c r="G31" s="5"/>
      <c r="H31" s="5"/>
      <c r="I31" s="5"/>
      <c r="J31" s="5"/>
      <c r="K31" s="5"/>
    </row>
    <row r="32" customFormat="false" ht="15" hidden="false" customHeight="true" outlineLevel="0" collapsed="false">
      <c r="A32" s="6"/>
      <c r="B32" s="6" t="s">
        <v>3</v>
      </c>
      <c r="C32" s="6" t="s">
        <v>4</v>
      </c>
      <c r="D32" s="6" t="s">
        <v>5</v>
      </c>
      <c r="E32" s="6" t="s">
        <v>6</v>
      </c>
      <c r="F32" s="6" t="s">
        <v>7</v>
      </c>
      <c r="G32" s="6" t="s">
        <v>8</v>
      </c>
      <c r="H32" s="6" t="s">
        <v>9</v>
      </c>
      <c r="I32" s="6" t="s">
        <v>10</v>
      </c>
      <c r="J32" s="6" t="s">
        <v>11</v>
      </c>
      <c r="K32" s="6" t="s">
        <v>12</v>
      </c>
    </row>
    <row r="33" customFormat="false" ht="15" hidden="false" customHeight="true" outlineLevel="0" collapsed="false">
      <c r="A33" s="7" t="s">
        <v>37</v>
      </c>
      <c r="B33" s="8" t="n">
        <v>49550</v>
      </c>
      <c r="C33" s="8" t="n">
        <v>71459</v>
      </c>
      <c r="D33" s="8" t="n">
        <v>42346</v>
      </c>
      <c r="E33" s="8" t="n">
        <v>94877</v>
      </c>
      <c r="F33" s="8" t="n">
        <v>26958</v>
      </c>
      <c r="G33" s="8" t="n">
        <v>110654</v>
      </c>
      <c r="H33" s="8" t="n">
        <v>115032</v>
      </c>
      <c r="I33" s="8" t="n">
        <v>158788</v>
      </c>
      <c r="J33" s="8" t="n">
        <v>178703</v>
      </c>
      <c r="K33" s="8" t="n">
        <v>192113</v>
      </c>
    </row>
    <row r="34" customFormat="false" ht="15" hidden="false" customHeight="true" outlineLevel="0" collapsed="false">
      <c r="A34" s="7" t="s">
        <v>38</v>
      </c>
      <c r="B34" s="8" t="n">
        <v>-66201</v>
      </c>
      <c r="C34" s="8" t="n">
        <v>-68192</v>
      </c>
      <c r="D34" s="8" t="n">
        <v>-94507</v>
      </c>
      <c r="E34" s="8" t="n">
        <v>-72497</v>
      </c>
      <c r="F34" s="8" t="n">
        <v>-142385</v>
      </c>
      <c r="G34" s="8" t="n">
        <v>-109162</v>
      </c>
      <c r="H34" s="8" t="n">
        <v>-93001</v>
      </c>
      <c r="I34" s="8" t="n">
        <v>-113581</v>
      </c>
      <c r="J34" s="8" t="n">
        <v>-137535</v>
      </c>
      <c r="K34" s="8" t="n">
        <v>-101089</v>
      </c>
    </row>
    <row r="35" customFormat="false" ht="15" hidden="false" customHeight="true" outlineLevel="0" collapsed="false">
      <c r="A35" s="7" t="s">
        <v>39</v>
      </c>
      <c r="B35" s="8" t="n">
        <v>8617</v>
      </c>
      <c r="C35" s="8" t="n">
        <v>-2001</v>
      </c>
      <c r="D35" s="8" t="n">
        <v>55906</v>
      </c>
      <c r="E35" s="8" t="n">
        <v>-2541</v>
      </c>
      <c r="F35" s="8" t="n">
        <v>101904</v>
      </c>
      <c r="G35" s="8" t="n">
        <v>17289</v>
      </c>
      <c r="H35" s="8" t="n">
        <v>10455</v>
      </c>
      <c r="I35" s="8" t="n">
        <v>-16646</v>
      </c>
      <c r="J35" s="8" t="n">
        <v>-31891</v>
      </c>
      <c r="K35" s="8" t="n">
        <v>-51549</v>
      </c>
    </row>
    <row r="36" customFormat="false" ht="15" hidden="false" customHeight="true" outlineLevel="0" collapsed="false">
      <c r="A36" s="11" t="s">
        <v>40</v>
      </c>
      <c r="B36" s="12" t="n">
        <v>-16651</v>
      </c>
      <c r="C36" s="12" t="n">
        <v>3267</v>
      </c>
      <c r="D36" s="12" t="n">
        <v>-52161</v>
      </c>
      <c r="E36" s="12" t="n">
        <v>22380</v>
      </c>
      <c r="F36" s="12" t="n">
        <v>-115427</v>
      </c>
      <c r="G36" s="12" t="n">
        <v>1492</v>
      </c>
      <c r="H36" s="12" t="n">
        <v>22031</v>
      </c>
      <c r="I36" s="12" t="n">
        <v>45207</v>
      </c>
      <c r="J36" s="12" t="n">
        <v>41168</v>
      </c>
      <c r="K36" s="12" t="n">
        <v>91024</v>
      </c>
    </row>
    <row r="38" customFormat="false" ht="15" hidden="false" customHeight="true" outlineLevel="0" collapsed="false">
      <c r="A38" s="4" t="s">
        <v>41</v>
      </c>
      <c r="B38" s="5"/>
      <c r="C38" s="5"/>
      <c r="D38" s="5"/>
      <c r="E38" s="5"/>
      <c r="F38" s="5"/>
      <c r="G38" s="5"/>
      <c r="H38" s="5"/>
      <c r="I38" s="5"/>
      <c r="J38" s="5"/>
      <c r="K38" s="5"/>
    </row>
    <row r="39" customFormat="false" ht="15" hidden="false" customHeight="true" outlineLevel="0" collapsed="false">
      <c r="A39" s="6"/>
      <c r="B39" s="6" t="s">
        <v>3</v>
      </c>
      <c r="C39" s="6" t="s">
        <v>4</v>
      </c>
      <c r="D39" s="6" t="s">
        <v>5</v>
      </c>
      <c r="E39" s="6" t="s">
        <v>6</v>
      </c>
      <c r="F39" s="6" t="s">
        <v>7</v>
      </c>
      <c r="G39" s="6" t="s">
        <v>8</v>
      </c>
      <c r="H39" s="6" t="s">
        <v>9</v>
      </c>
      <c r="I39" s="6" t="s">
        <v>10</v>
      </c>
      <c r="J39" s="6" t="s">
        <v>11</v>
      </c>
      <c r="K39" s="6" t="s">
        <v>12</v>
      </c>
    </row>
    <row r="40" customFormat="false" ht="15" hidden="false" customHeight="true" outlineLevel="0" collapsed="false">
      <c r="A40" s="7" t="s">
        <v>42</v>
      </c>
      <c r="B40" s="10" t="n">
        <v>0.1134</v>
      </c>
      <c r="C40" s="10" t="n">
        <v>0.1229</v>
      </c>
      <c r="D40" s="10" t="n">
        <v>0.1023</v>
      </c>
      <c r="E40" s="10" t="n">
        <v>0.0876</v>
      </c>
      <c r="F40" s="10" t="n">
        <v>0.0702</v>
      </c>
      <c r="G40" s="10" t="n">
        <v>0.0779</v>
      </c>
      <c r="H40" s="10" t="n">
        <v>0.0932</v>
      </c>
      <c r="I40" s="10" t="n">
        <v>0.0877</v>
      </c>
      <c r="J40" s="10" t="n">
        <v>0.0826</v>
      </c>
      <c r="K40" s="10" t="n">
        <v>0.0893</v>
      </c>
    </row>
    <row r="41" customFormat="false" ht="15" hidden="false" customHeight="true" outlineLevel="0" collapsed="false">
      <c r="A41" s="7" t="s">
        <v>43</v>
      </c>
      <c r="B41" s="10" t="n">
        <v>0.072</v>
      </c>
      <c r="C41" s="10" t="n">
        <v>0.0893</v>
      </c>
      <c r="D41" s="10" t="n">
        <v>0.0911</v>
      </c>
      <c r="E41" s="10" t="n">
        <v>0.0834</v>
      </c>
      <c r="F41" s="10" t="n">
        <v>0.0554</v>
      </c>
      <c r="G41" s="10" t="n">
        <v>0.0717</v>
      </c>
      <c r="H41" s="10" t="n">
        <v>0.0874</v>
      </c>
      <c r="I41" s="10" t="n">
        <v>0.0976</v>
      </c>
      <c r="J41" s="10" t="n">
        <v>0.0924</v>
      </c>
      <c r="K41" s="10" t="n">
        <v>0.0929</v>
      </c>
    </row>
    <row r="42" customFormat="false" ht="15" hidden="false" customHeight="true" outlineLevel="0" collapsed="false">
      <c r="A42" s="7" t="s">
        <v>44</v>
      </c>
      <c r="B42" s="14" t="n">
        <v>4.63</v>
      </c>
      <c r="C42" s="14" t="n">
        <v>3.66</v>
      </c>
      <c r="D42" s="14" t="n">
        <v>3.52</v>
      </c>
      <c r="E42" s="14" t="n">
        <v>3.63</v>
      </c>
      <c r="F42" s="14" t="n">
        <v>3.24</v>
      </c>
      <c r="G42" s="14" t="n">
        <v>2.61</v>
      </c>
      <c r="H42" s="14" t="n">
        <v>2.69</v>
      </c>
      <c r="I42" s="14" t="n">
        <v>1.56</v>
      </c>
      <c r="J42" s="14" t="n">
        <v>1.62</v>
      </c>
      <c r="K42" s="14" t="n">
        <v>1.44</v>
      </c>
    </row>
    <row r="43" customFormat="false" ht="15" hidden="false" customHeight="true" outlineLevel="0" collapsed="false">
      <c r="A43" s="7" t="s">
        <v>45</v>
      </c>
      <c r="B43" s="10" t="n">
        <v>0.0984</v>
      </c>
      <c r="C43" s="10" t="n">
        <v>0.0923</v>
      </c>
      <c r="D43" s="10" t="n">
        <v>0.0697</v>
      </c>
      <c r="E43" s="10" t="n">
        <v>0.066</v>
      </c>
      <c r="F43" s="10" t="n">
        <v>0.1054</v>
      </c>
      <c r="G43" s="10" t="n">
        <v>0.0874</v>
      </c>
      <c r="H43" s="10" t="n">
        <v>0.0761</v>
      </c>
      <c r="I43" s="10" t="n">
        <v>0.0774</v>
      </c>
      <c r="J43" s="10" t="n">
        <v>0.0723</v>
      </c>
      <c r="K43" s="10" t="n">
        <v>0.0765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8" min="4" style="1" width="14"/>
  </cols>
  <sheetData>
    <row r="1" customFormat="false" ht="15" hidden="false" customHeight="true" outlineLevel="0" collapsed="false">
      <c r="A1" s="2" t="s">
        <v>46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15" t="s">
        <v>47</v>
      </c>
      <c r="B2" s="15"/>
      <c r="C2" s="15"/>
      <c r="D2" s="15"/>
      <c r="E2" s="15"/>
      <c r="F2" s="15"/>
      <c r="G2" s="15"/>
      <c r="H2" s="15"/>
    </row>
    <row r="4" customFormat="false" ht="15" hidden="false" customHeight="true" outlineLevel="0" collapsed="false">
      <c r="A4" s="4" t="s">
        <v>48</v>
      </c>
      <c r="B4" s="5"/>
      <c r="C4" s="5"/>
      <c r="D4" s="5"/>
      <c r="E4" s="5"/>
      <c r="F4" s="5"/>
      <c r="G4" s="5"/>
      <c r="H4" s="5"/>
    </row>
    <row r="5" customFormat="false" ht="15" hidden="false" customHeight="true" outlineLevel="0" collapsed="false">
      <c r="A5" s="7" t="s">
        <v>49</v>
      </c>
      <c r="B5" s="16" t="n">
        <v>0.07</v>
      </c>
      <c r="C5" s="17" t="s">
        <v>50</v>
      </c>
    </row>
    <row r="6" customFormat="false" ht="15" hidden="false" customHeight="true" outlineLevel="0" collapsed="false">
      <c r="A6" s="7" t="s">
        <v>51</v>
      </c>
      <c r="B6" s="16" t="n">
        <v>0.95</v>
      </c>
      <c r="C6" s="17" t="s">
        <v>52</v>
      </c>
    </row>
    <row r="7" customFormat="false" ht="15" hidden="false" customHeight="true" outlineLevel="0" collapsed="false">
      <c r="A7" s="7" t="s">
        <v>53</v>
      </c>
      <c r="B7" s="16" t="n">
        <v>0.055</v>
      </c>
      <c r="C7" s="17" t="s">
        <v>54</v>
      </c>
    </row>
    <row r="8" customFormat="false" ht="15" hidden="false" customHeight="true" outlineLevel="0" collapsed="false">
      <c r="A8" s="7" t="s">
        <v>55</v>
      </c>
      <c r="B8" s="8" t="n">
        <f aca="false">B5+B6*B7</f>
        <v>0.12225</v>
      </c>
    </row>
    <row r="9" customFormat="false" ht="15" hidden="false" customHeight="true" outlineLevel="0" collapsed="false">
      <c r="A9" s="7" t="s">
        <v>56</v>
      </c>
      <c r="B9" s="16" t="n">
        <v>0.075</v>
      </c>
      <c r="C9" s="17" t="s">
        <v>57</v>
      </c>
    </row>
    <row r="10" customFormat="false" ht="15" hidden="false" customHeight="true" outlineLevel="0" collapsed="false">
      <c r="A10" s="7" t="s">
        <v>58</v>
      </c>
      <c r="B10" s="16" t="n">
        <v>0.25</v>
      </c>
      <c r="C10" s="17" t="s">
        <v>59</v>
      </c>
    </row>
    <row r="11" customFormat="false" ht="15" hidden="false" customHeight="true" outlineLevel="0" collapsed="false">
      <c r="A11" s="7" t="s">
        <v>60</v>
      </c>
      <c r="B11" s="8" t="n">
        <f aca="false">B9*(1-B10)</f>
        <v>0.05625</v>
      </c>
    </row>
    <row r="12" customFormat="false" ht="15" hidden="false" customHeight="true" outlineLevel="0" collapsed="false">
      <c r="A12" s="7" t="s">
        <v>61</v>
      </c>
      <c r="B12" s="18" t="n">
        <v>1772552.58</v>
      </c>
      <c r="C12" s="17" t="s">
        <v>62</v>
      </c>
    </row>
    <row r="13" customFormat="false" ht="15" hidden="false" customHeight="true" outlineLevel="0" collapsed="false">
      <c r="A13" s="7" t="s">
        <v>63</v>
      </c>
      <c r="B13" s="18" t="n">
        <v>402962</v>
      </c>
      <c r="C13" s="17" t="s">
        <v>64</v>
      </c>
    </row>
    <row r="14" customFormat="false" ht="15" hidden="false" customHeight="true" outlineLevel="0" collapsed="false">
      <c r="A14" s="7" t="s">
        <v>65</v>
      </c>
      <c r="B14" s="8" t="n">
        <f aca="false">B12+B13</f>
        <v>2175514.58</v>
      </c>
    </row>
    <row r="15" customFormat="false" ht="15" hidden="false" customHeight="true" outlineLevel="0" collapsed="false">
      <c r="A15" s="7" t="s">
        <v>66</v>
      </c>
      <c r="B15" s="8" t="n">
        <f aca="false">B12/B14</f>
        <v>0.814773937299928</v>
      </c>
    </row>
    <row r="16" customFormat="false" ht="15" hidden="false" customHeight="true" outlineLevel="0" collapsed="false">
      <c r="A16" s="7" t="s">
        <v>67</v>
      </c>
      <c r="B16" s="8" t="n">
        <f aca="false">B13/B14</f>
        <v>0.185226062700072</v>
      </c>
    </row>
    <row r="17" customFormat="false" ht="15" hidden="false" customHeight="true" outlineLevel="0" collapsed="false">
      <c r="A17" s="7" t="s">
        <v>68</v>
      </c>
      <c r="B17" s="8" t="n">
        <f aca="false">B8*B15+B11*B16</f>
        <v>0.110025079861795</v>
      </c>
    </row>
    <row r="19" customFormat="false" ht="15" hidden="false" customHeight="true" outlineLevel="0" collapsed="false">
      <c r="A19" s="4" t="s">
        <v>69</v>
      </c>
      <c r="B19" s="5"/>
      <c r="C19" s="5"/>
      <c r="D19" s="5"/>
      <c r="E19" s="5"/>
      <c r="F19" s="5"/>
      <c r="G19" s="5"/>
      <c r="H19" s="5"/>
    </row>
    <row r="20" customFormat="false" ht="15" hidden="false" customHeight="true" outlineLevel="0" collapsed="false">
      <c r="A20" s="6" t="s">
        <v>70</v>
      </c>
      <c r="B20" s="6" t="s">
        <v>71</v>
      </c>
      <c r="C20" s="6" t="s">
        <v>72</v>
      </c>
      <c r="D20" s="6" t="s">
        <v>73</v>
      </c>
      <c r="E20" s="6" t="s">
        <v>74</v>
      </c>
      <c r="F20" s="6" t="s">
        <v>75</v>
      </c>
    </row>
    <row r="21" customFormat="false" ht="15" hidden="false" customHeight="true" outlineLevel="0" collapsed="false">
      <c r="A21" s="7" t="s">
        <v>76</v>
      </c>
      <c r="B21" s="16" t="n">
        <v>0.1</v>
      </c>
      <c r="C21" s="16" t="n">
        <v>0.1</v>
      </c>
      <c r="D21" s="16" t="n">
        <v>0.09</v>
      </c>
      <c r="E21" s="16" t="n">
        <v>0.09</v>
      </c>
      <c r="F21" s="16" t="n">
        <v>0.08</v>
      </c>
    </row>
    <row r="22" customFormat="false" ht="15" hidden="false" customHeight="true" outlineLevel="0" collapsed="false">
      <c r="A22" s="7" t="s">
        <v>17</v>
      </c>
      <c r="B22" s="16" t="n">
        <v>0.175</v>
      </c>
      <c r="C22" s="16" t="n">
        <v>0.175</v>
      </c>
      <c r="D22" s="16" t="n">
        <v>0.175</v>
      </c>
      <c r="E22" s="16" t="n">
        <v>0.18</v>
      </c>
      <c r="F22" s="16" t="n">
        <v>0.18</v>
      </c>
    </row>
    <row r="23" customFormat="false" ht="15" hidden="false" customHeight="true" outlineLevel="0" collapsed="false">
      <c r="A23" s="7" t="s">
        <v>77</v>
      </c>
      <c r="B23" s="16" t="n">
        <v>0.055</v>
      </c>
      <c r="C23" s="16" t="n">
        <v>0.055</v>
      </c>
      <c r="D23" s="16" t="n">
        <v>0.055</v>
      </c>
      <c r="E23" s="16" t="n">
        <v>0.055</v>
      </c>
      <c r="F23" s="16" t="n">
        <v>0.055</v>
      </c>
    </row>
    <row r="24" customFormat="false" ht="15" hidden="false" customHeight="true" outlineLevel="0" collapsed="false">
      <c r="A24" s="7" t="s">
        <v>78</v>
      </c>
      <c r="B24" s="16" t="n">
        <v>0.14</v>
      </c>
      <c r="C24" s="16" t="n">
        <v>0.13</v>
      </c>
      <c r="D24" s="16" t="n">
        <v>0.12</v>
      </c>
      <c r="E24" s="16" t="n">
        <v>0.12</v>
      </c>
      <c r="F24" s="16" t="n">
        <v>0.11</v>
      </c>
    </row>
    <row r="26" customFormat="false" ht="15" hidden="false" customHeight="true" outlineLevel="0" collapsed="false">
      <c r="A26" s="4" t="s">
        <v>79</v>
      </c>
      <c r="B26" s="5"/>
      <c r="C26" s="5"/>
      <c r="D26" s="5"/>
      <c r="E26" s="5"/>
      <c r="F26" s="5"/>
      <c r="G26" s="5"/>
      <c r="H26" s="5"/>
    </row>
    <row r="27" customFormat="false" ht="15" hidden="false" customHeight="true" outlineLevel="0" collapsed="false">
      <c r="A27" s="7" t="s">
        <v>80</v>
      </c>
      <c r="B27" s="16" t="n">
        <v>0.05</v>
      </c>
      <c r="C27" s="17" t="s">
        <v>81</v>
      </c>
    </row>
    <row r="28" customFormat="false" ht="15" hidden="false" customHeight="true" outlineLevel="0" collapsed="false">
      <c r="A28" s="7" t="s">
        <v>82</v>
      </c>
      <c r="B28" s="19" t="n">
        <v>1353.25</v>
      </c>
      <c r="C28" s="17" t="s">
        <v>83</v>
      </c>
    </row>
    <row r="29" customFormat="false" ht="15" hidden="false" customHeight="true" outlineLevel="0" collapsed="false">
      <c r="A29" s="7" t="s">
        <v>84</v>
      </c>
      <c r="B29" s="19" t="n">
        <v>1309.5</v>
      </c>
      <c r="C29" s="17" t="s">
        <v>85</v>
      </c>
    </row>
    <row r="30" customFormat="false" ht="15" hidden="false" customHeight="true" outlineLevel="0" collapsed="false">
      <c r="A30" s="7" t="s">
        <v>86</v>
      </c>
      <c r="B30" s="19" t="n">
        <v>256985</v>
      </c>
      <c r="C30" s="17" t="s">
        <v>87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8" min="2" style="1" width="14"/>
  </cols>
  <sheetData>
    <row r="1" customFormat="false" ht="15" hidden="false" customHeight="true" outlineLevel="0" collapsed="false">
      <c r="A1" s="2" t="s">
        <v>88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15" t="s">
        <v>89</v>
      </c>
      <c r="B2" s="15"/>
      <c r="C2" s="15"/>
      <c r="D2" s="15"/>
      <c r="E2" s="15"/>
      <c r="F2" s="15"/>
      <c r="G2" s="15"/>
    </row>
    <row r="4" customFormat="false" ht="15" hidden="false" customHeight="true" outlineLevel="0" collapsed="false">
      <c r="A4" s="4" t="s">
        <v>90</v>
      </c>
      <c r="B4" s="5"/>
      <c r="C4" s="5"/>
      <c r="D4" s="5"/>
      <c r="E4" s="5"/>
      <c r="F4" s="5"/>
      <c r="G4" s="5"/>
    </row>
    <row r="5" customFormat="false" ht="15" hidden="false" customHeight="true" outlineLevel="0" collapsed="false">
      <c r="A5" s="6"/>
      <c r="B5" s="6" t="s">
        <v>91</v>
      </c>
      <c r="C5" s="6" t="s">
        <v>92</v>
      </c>
      <c r="D5" s="6" t="s">
        <v>93</v>
      </c>
      <c r="E5" s="6" t="s">
        <v>94</v>
      </c>
      <c r="F5" s="6" t="s">
        <v>95</v>
      </c>
      <c r="G5" s="6" t="s">
        <v>96</v>
      </c>
    </row>
    <row r="6" customFormat="false" ht="15" hidden="false" customHeight="true" outlineLevel="0" collapsed="false">
      <c r="A6" s="7" t="s">
        <v>97</v>
      </c>
      <c r="B6" s="12" t="n">
        <v>1055780</v>
      </c>
      <c r="C6" s="20" t="n">
        <f aca="false">B6*(1+Assumptions!B21)</f>
        <v>1161358</v>
      </c>
      <c r="D6" s="20" t="n">
        <f aca="false">C6*(1+Assumptions!C21)</f>
        <v>1277493.8</v>
      </c>
      <c r="E6" s="20" t="n">
        <f aca="false">D6*(1+Assumptions!D21)</f>
        <v>1392468.242</v>
      </c>
      <c r="F6" s="20" t="n">
        <f aca="false">E6*(1+Assumptions!E21)</f>
        <v>1517790.38378</v>
      </c>
      <c r="G6" s="20" t="n">
        <f aca="false">F6*(1+Assumptions!F21)</f>
        <v>1639213.6144824</v>
      </c>
    </row>
    <row r="7" customFormat="false" ht="15" hidden="false" customHeight="true" outlineLevel="0" collapsed="false">
      <c r="A7" s="7" t="s">
        <v>98</v>
      </c>
      <c r="B7" s="7"/>
      <c r="C7" s="21" t="n">
        <f aca="false">Assumptions!B21</f>
        <v>0.1</v>
      </c>
      <c r="D7" s="21" t="n">
        <f aca="false">Assumptions!C21</f>
        <v>0.1</v>
      </c>
      <c r="E7" s="21" t="n">
        <f aca="false">Assumptions!D21</f>
        <v>0.09</v>
      </c>
      <c r="F7" s="21" t="n">
        <f aca="false">Assumptions!E21</f>
        <v>0.09</v>
      </c>
      <c r="G7" s="21" t="n">
        <f aca="false">Assumptions!F21</f>
        <v>0.08</v>
      </c>
    </row>
    <row r="8" customFormat="false" ht="15" hidden="false" customHeight="true" outlineLevel="0" collapsed="false">
      <c r="A8" s="7" t="s">
        <v>99</v>
      </c>
      <c r="B8" s="8" t="n">
        <v>179065</v>
      </c>
      <c r="C8" s="22" t="n">
        <f aca="false">C6*Assumptions!B22</f>
        <v>203237.65</v>
      </c>
      <c r="D8" s="22" t="n">
        <f aca="false">D6*Assumptions!C22</f>
        <v>223561.415</v>
      </c>
      <c r="E8" s="22" t="n">
        <f aca="false">E6*Assumptions!D22</f>
        <v>243681.94235</v>
      </c>
      <c r="F8" s="22" t="n">
        <f aca="false">F6*Assumptions!E22</f>
        <v>273202.2690804</v>
      </c>
      <c r="G8" s="22" t="n">
        <f aca="false">G6*Assumptions!F22</f>
        <v>295058.450606832</v>
      </c>
    </row>
    <row r="9" customFormat="false" ht="15" hidden="false" customHeight="true" outlineLevel="0" collapsed="false">
      <c r="A9" s="7" t="s">
        <v>100</v>
      </c>
      <c r="B9" s="10" t="n">
        <f aca="false">B8/B6</f>
        <v>0.169604463051014</v>
      </c>
      <c r="C9" s="21" t="n">
        <f aca="false">Assumptions!B22</f>
        <v>0.175</v>
      </c>
      <c r="D9" s="21" t="n">
        <f aca="false">Assumptions!C22</f>
        <v>0.175</v>
      </c>
      <c r="E9" s="21" t="n">
        <f aca="false">Assumptions!D22</f>
        <v>0.175</v>
      </c>
      <c r="F9" s="21" t="n">
        <f aca="false">Assumptions!E22</f>
        <v>0.18</v>
      </c>
      <c r="G9" s="21" t="n">
        <f aca="false">Assumptions!F22</f>
        <v>0.18</v>
      </c>
    </row>
    <row r="10" customFormat="false" ht="15" hidden="false" customHeight="true" outlineLevel="0" collapsed="false">
      <c r="A10" s="7" t="s">
        <v>101</v>
      </c>
      <c r="B10" s="8" t="n">
        <v>57688</v>
      </c>
      <c r="C10" s="22" t="n">
        <f aca="false">C6*Assumptions!B23</f>
        <v>63874.69</v>
      </c>
      <c r="D10" s="22" t="n">
        <f aca="false">D6*Assumptions!C23</f>
        <v>70262.159</v>
      </c>
      <c r="E10" s="22" t="n">
        <f aca="false">E6*Assumptions!D23</f>
        <v>76585.75331</v>
      </c>
      <c r="F10" s="22" t="n">
        <f aca="false">F6*Assumptions!E23</f>
        <v>83478.4711079</v>
      </c>
      <c r="G10" s="22" t="n">
        <f aca="false">G6*Assumptions!F23</f>
        <v>90156.748796532</v>
      </c>
    </row>
    <row r="11" customFormat="false" ht="15" hidden="false" customHeight="true" outlineLevel="0" collapsed="false">
      <c r="A11" s="7" t="s">
        <v>102</v>
      </c>
      <c r="B11" s="8" t="n">
        <f aca="false">B8-B10</f>
        <v>121377</v>
      </c>
      <c r="C11" s="8" t="n">
        <f aca="false">C8-C10</f>
        <v>139362.96</v>
      </c>
      <c r="D11" s="8" t="n">
        <f aca="false">D8-D10</f>
        <v>153299.256</v>
      </c>
      <c r="E11" s="8" t="n">
        <f aca="false">E8-E10</f>
        <v>167096.18904</v>
      </c>
      <c r="F11" s="8" t="n">
        <f aca="false">F8-F10</f>
        <v>189723.7979725</v>
      </c>
      <c r="G11" s="8" t="n">
        <f aca="false">G8-G10</f>
        <v>204901.7018103</v>
      </c>
    </row>
    <row r="12" customFormat="false" ht="15" hidden="false" customHeight="true" outlineLevel="0" collapsed="false">
      <c r="A12" s="7" t="s">
        <v>103</v>
      </c>
      <c r="B12" s="10" t="n">
        <f aca="false">B11/B6</f>
        <v>0.114964291803217</v>
      </c>
      <c r="C12" s="10" t="n">
        <f aca="false">C11/C6</f>
        <v>0.12</v>
      </c>
      <c r="D12" s="10" t="n">
        <f aca="false">D11/D6</f>
        <v>0.12</v>
      </c>
      <c r="E12" s="10" t="n">
        <f aca="false">E11/E6</f>
        <v>0.12</v>
      </c>
      <c r="F12" s="10" t="n">
        <f aca="false">F11/F6</f>
        <v>0.125</v>
      </c>
      <c r="G12" s="10" t="n">
        <f aca="false">G11/G6</f>
        <v>0.125</v>
      </c>
    </row>
    <row r="13" customFormat="false" ht="15" hidden="false" customHeight="true" outlineLevel="0" collapsed="false">
      <c r="A13" s="7" t="s">
        <v>104</v>
      </c>
      <c r="B13" s="12" t="n">
        <f aca="false">B11*(1-Assumptions!B10)</f>
        <v>91032.75</v>
      </c>
      <c r="C13" s="12" t="n">
        <f aca="false">C11*(1-Assumptions!B10)</f>
        <v>104522.22</v>
      </c>
      <c r="D13" s="12" t="n">
        <f aca="false">D11*(1-Assumptions!B10)</f>
        <v>114974.442</v>
      </c>
      <c r="E13" s="12" t="n">
        <f aca="false">E11*(1-Assumptions!B10)</f>
        <v>125322.14178</v>
      </c>
      <c r="F13" s="12" t="n">
        <f aca="false">F11*(1-Assumptions!B10)</f>
        <v>142292.848479375</v>
      </c>
      <c r="G13" s="12" t="n">
        <f aca="false">G11*(1-Assumptions!B10)</f>
        <v>153676.276357725</v>
      </c>
    </row>
    <row r="14" customFormat="false" ht="15" hidden="false" customHeight="true" outlineLevel="0" collapsed="false">
      <c r="A14" s="7" t="s">
        <v>105</v>
      </c>
      <c r="B14" s="8" t="n">
        <f aca="false">B10</f>
        <v>57688</v>
      </c>
      <c r="C14" s="8" t="n">
        <f aca="false">C10</f>
        <v>63874.69</v>
      </c>
      <c r="D14" s="8" t="n">
        <f aca="false">D10</f>
        <v>70262.159</v>
      </c>
      <c r="E14" s="8" t="n">
        <f aca="false">E10</f>
        <v>76585.75331</v>
      </c>
      <c r="F14" s="8" t="n">
        <f aca="false">F10</f>
        <v>83478.4711079</v>
      </c>
      <c r="G14" s="8" t="n">
        <f aca="false">G10</f>
        <v>90156.748796532</v>
      </c>
    </row>
    <row r="15" customFormat="false" ht="15" hidden="false" customHeight="true" outlineLevel="0" collapsed="false">
      <c r="A15" s="7" t="s">
        <v>106</v>
      </c>
      <c r="B15" s="7"/>
      <c r="C15" s="22" t="n">
        <f aca="false">-C6*Assumptions!B24</f>
        <v>-162590.12</v>
      </c>
      <c r="D15" s="22" t="n">
        <f aca="false">-D6*Assumptions!C24</f>
        <v>-166074.194</v>
      </c>
      <c r="E15" s="22" t="n">
        <f aca="false">-E6*Assumptions!D24</f>
        <v>-167096.18904</v>
      </c>
      <c r="F15" s="22" t="n">
        <f aca="false">-F6*Assumptions!E24</f>
        <v>-182134.8460536</v>
      </c>
      <c r="G15" s="22" t="n">
        <f aca="false">-G6*Assumptions!F24</f>
        <v>-180313.497593064</v>
      </c>
    </row>
    <row r="16" customFormat="false" ht="15" hidden="false" customHeight="true" outlineLevel="0" collapsed="false">
      <c r="A16" s="11" t="s">
        <v>107</v>
      </c>
      <c r="B16" s="7"/>
      <c r="C16" s="12" t="n">
        <f aca="false">C13+C14+C15</f>
        <v>5806.78999999998</v>
      </c>
      <c r="D16" s="12" t="n">
        <f aca="false">D13+D14+D15</f>
        <v>19162.407</v>
      </c>
      <c r="E16" s="12" t="n">
        <f aca="false">E13+E14+E15</f>
        <v>34811.70605</v>
      </c>
      <c r="F16" s="12" t="n">
        <f aca="false">F13+F14+F15</f>
        <v>43636.473533675</v>
      </c>
      <c r="G16" s="12" t="n">
        <f aca="false">G13+G14+G15</f>
        <v>63519.527561193</v>
      </c>
    </row>
    <row r="18" customFormat="false" ht="15" hidden="false" customHeight="true" outlineLevel="0" collapsed="false">
      <c r="A18" s="4" t="s">
        <v>108</v>
      </c>
      <c r="B18" s="5"/>
      <c r="C18" s="5"/>
      <c r="D18" s="5"/>
      <c r="E18" s="5"/>
      <c r="F18" s="5"/>
      <c r="G18" s="5"/>
    </row>
    <row r="19" customFormat="false" ht="15" hidden="false" customHeight="true" outlineLevel="0" collapsed="false">
      <c r="A19" s="7" t="s">
        <v>109</v>
      </c>
      <c r="B19" s="7"/>
      <c r="C19" s="23" t="n">
        <v>1</v>
      </c>
      <c r="D19" s="23" t="n">
        <v>2</v>
      </c>
      <c r="E19" s="23" t="n">
        <v>3</v>
      </c>
      <c r="F19" s="23" t="n">
        <v>4</v>
      </c>
      <c r="G19" s="23" t="n">
        <v>5</v>
      </c>
    </row>
    <row r="20" customFormat="false" ht="15" hidden="false" customHeight="true" outlineLevel="0" collapsed="false">
      <c r="A20" s="7" t="s">
        <v>110</v>
      </c>
      <c r="B20" s="7"/>
      <c r="C20" s="24" t="n">
        <f aca="false">1/(1+Assumptions!B17)^C19</f>
        <v>0.900880545982354</v>
      </c>
      <c r="D20" s="24" t="n">
        <f aca="false">1/(1+Assumptions!B17)^D19</f>
        <v>0.811585758129464</v>
      </c>
      <c r="E20" s="24" t="n">
        <f aca="false">1/(1+Assumptions!B17)^E19</f>
        <v>0.731141820895174</v>
      </c>
      <c r="F20" s="24" t="n">
        <f aca="false">1/(1+Assumptions!B17)^F19</f>
        <v>0.658671442798577</v>
      </c>
      <c r="G20" s="24" t="n">
        <f aca="false">1/(1+Assumptions!B17)^G19</f>
        <v>0.593384289011367</v>
      </c>
    </row>
    <row r="21" customFormat="false" ht="15" hidden="false" customHeight="true" outlineLevel="0" collapsed="false">
      <c r="A21" s="11" t="s">
        <v>111</v>
      </c>
      <c r="B21" s="7"/>
      <c r="C21" s="12" t="n">
        <f aca="false">C16*C20</f>
        <v>5231.22414560485</v>
      </c>
      <c r="D21" s="12" t="n">
        <f aca="false">D16*D20</f>
        <v>15551.9366126803</v>
      </c>
      <c r="E21" s="12" t="n">
        <f aca="false">E16*E20</f>
        <v>25452.2941498646</v>
      </c>
      <c r="F21" s="12" t="n">
        <f aca="false">F16*F20</f>
        <v>28742.0989810676</v>
      </c>
      <c r="G21" s="12" t="n">
        <f aca="false">G16*G20</f>
        <v>37691.4897002364</v>
      </c>
    </row>
    <row r="22" customFormat="false" ht="15" hidden="false" customHeight="true" outlineLevel="0" collapsed="false">
      <c r="A22" s="11" t="s">
        <v>112</v>
      </c>
      <c r="B22" s="12" t="n">
        <f aca="false">SUM(C21:G21)</f>
        <v>112669.043589454</v>
      </c>
    </row>
    <row r="24" customFormat="false" ht="15" hidden="false" customHeight="true" outlineLevel="0" collapsed="false">
      <c r="A24" s="4" t="s">
        <v>113</v>
      </c>
      <c r="B24" s="5"/>
      <c r="C24" s="5"/>
      <c r="D24" s="5"/>
      <c r="E24" s="5"/>
      <c r="F24" s="5"/>
      <c r="G24" s="5"/>
    </row>
    <row r="25" customFormat="false" ht="15" hidden="false" customHeight="true" outlineLevel="0" collapsed="false">
      <c r="A25" s="7" t="s">
        <v>114</v>
      </c>
      <c r="B25" s="22" t="n">
        <f aca="false">G16</f>
        <v>63519.527561193</v>
      </c>
    </row>
    <row r="26" customFormat="false" ht="15" hidden="false" customHeight="true" outlineLevel="0" collapsed="false">
      <c r="A26" s="7" t="s">
        <v>80</v>
      </c>
      <c r="B26" s="21" t="n">
        <f aca="false">Assumptions!B27</f>
        <v>0.05</v>
      </c>
    </row>
    <row r="27" customFormat="false" ht="15" hidden="false" customHeight="true" outlineLevel="0" collapsed="false">
      <c r="A27" s="7" t="s">
        <v>115</v>
      </c>
      <c r="B27" s="21" t="n">
        <f aca="false">Assumptions!B17</f>
        <v>0.110025079861795</v>
      </c>
    </row>
    <row r="28" customFormat="false" ht="15" hidden="false" customHeight="true" outlineLevel="0" collapsed="false">
      <c r="A28" s="11" t="s">
        <v>116</v>
      </c>
      <c r="B28" s="12" t="n">
        <f aca="false">B25*(1+B26)/(B27-B26)</f>
        <v>1111127.28367568</v>
      </c>
    </row>
    <row r="29" customFormat="false" ht="15" hidden="false" customHeight="true" outlineLevel="0" collapsed="false">
      <c r="A29" s="7" t="s">
        <v>117</v>
      </c>
      <c r="B29" s="24" t="n">
        <f aca="false">1/(1+Assumptions!B17)^5</f>
        <v>0.593384289011367</v>
      </c>
    </row>
    <row r="30" customFormat="false" ht="15" hidden="false" customHeight="true" outlineLevel="0" collapsed="false">
      <c r="A30" s="11" t="s">
        <v>118</v>
      </c>
      <c r="B30" s="12" t="n">
        <f aca="false">B28*B29</f>
        <v>659325.473225027</v>
      </c>
    </row>
    <row r="32" customFormat="false" ht="15" hidden="false" customHeight="true" outlineLevel="0" collapsed="false">
      <c r="A32" s="4" t="s">
        <v>119</v>
      </c>
      <c r="B32" s="5"/>
      <c r="C32" s="5"/>
      <c r="D32" s="5"/>
      <c r="E32" s="5"/>
      <c r="F32" s="5"/>
      <c r="G32" s="5"/>
    </row>
    <row r="33" customFormat="false" ht="15" hidden="false" customHeight="true" outlineLevel="0" collapsed="false">
      <c r="A33" s="11" t="s">
        <v>120</v>
      </c>
      <c r="B33" s="12" t="n">
        <f aca="false">B22+B30</f>
        <v>771994.516814481</v>
      </c>
    </row>
    <row r="34" customFormat="false" ht="15" hidden="false" customHeight="true" outlineLevel="0" collapsed="false">
      <c r="A34" s="7" t="s">
        <v>121</v>
      </c>
      <c r="B34" s="22" t="n">
        <f aca="false">-Assumptions!B30</f>
        <v>-256985</v>
      </c>
    </row>
    <row r="35" customFormat="false" ht="15" hidden="false" customHeight="true" outlineLevel="0" collapsed="false">
      <c r="A35" s="11" t="s">
        <v>122</v>
      </c>
      <c r="B35" s="12" t="n">
        <f aca="false">B33+B34</f>
        <v>515009.516814481</v>
      </c>
    </row>
    <row r="36" customFormat="false" ht="15" hidden="false" customHeight="true" outlineLevel="0" collapsed="false">
      <c r="A36" s="7" t="s">
        <v>82</v>
      </c>
      <c r="B36" s="25" t="n">
        <f aca="false">Assumptions!B28</f>
        <v>1353.25</v>
      </c>
    </row>
    <row r="37" customFormat="false" ht="18" hidden="false" customHeight="true" outlineLevel="0" collapsed="false">
      <c r="A37" s="26" t="s">
        <v>123</v>
      </c>
      <c r="B37" s="27" t="n">
        <f aca="false">B35/B36</f>
        <v>380.572338307394</v>
      </c>
    </row>
    <row r="38" customFormat="false" ht="15" hidden="false" customHeight="true" outlineLevel="0" collapsed="false">
      <c r="A38" s="7" t="s">
        <v>84</v>
      </c>
      <c r="B38" s="28" t="n">
        <f aca="false">Assumptions!B29</f>
        <v>1309.5</v>
      </c>
    </row>
    <row r="39" customFormat="false" ht="15" hidden="false" customHeight="true" outlineLevel="0" collapsed="false">
      <c r="A39" s="11" t="s">
        <v>124</v>
      </c>
      <c r="B39" s="29" t="n">
        <f aca="false">(B37/B38)-1</f>
        <v>-0.709375839398706</v>
      </c>
    </row>
    <row r="41" customFormat="false" ht="27.75" hidden="false" customHeight="true" outlineLevel="0" collapsed="false">
      <c r="A41" s="30" t="s">
        <v>125</v>
      </c>
      <c r="B41" s="30"/>
      <c r="C41" s="30"/>
      <c r="D41" s="30"/>
      <c r="E41" s="30"/>
      <c r="F41" s="30"/>
      <c r="G41" s="30"/>
    </row>
  </sheetData>
  <mergeCells count="3">
    <mergeCell ref="A1:G1"/>
    <mergeCell ref="A2:G2"/>
    <mergeCell ref="A41:G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6" min="2" style="1" width="14"/>
    <col collapsed="false" customWidth="true" hidden="false" outlineLevel="0" max="7" min="7" style="1" width="8"/>
    <col collapsed="false" customWidth="true" hidden="false" outlineLevel="0" max="9" min="8" style="1" width="10"/>
    <col collapsed="false" customWidth="true" hidden="false" outlineLevel="0" max="10" min="10" style="1" width="8"/>
  </cols>
  <sheetData>
    <row r="1" customFormat="false" ht="15" hidden="false" customHeight="true" outlineLevel="0" collapsed="false">
      <c r="A1" s="2" t="s">
        <v>126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5" t="s">
        <v>127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" hidden="false" customHeight="true" outlineLevel="0" collapsed="false">
      <c r="A4" s="6" t="s">
        <v>128</v>
      </c>
      <c r="B4" s="6" t="s">
        <v>129</v>
      </c>
      <c r="C4" s="6" t="s">
        <v>130</v>
      </c>
      <c r="D4" s="6" t="s">
        <v>131</v>
      </c>
      <c r="E4" s="6" t="s">
        <v>132</v>
      </c>
      <c r="F4" s="6" t="s">
        <v>133</v>
      </c>
      <c r="G4" s="6" t="s">
        <v>134</v>
      </c>
      <c r="H4" s="6" t="s">
        <v>135</v>
      </c>
      <c r="I4" s="6" t="s">
        <v>136</v>
      </c>
      <c r="J4" s="6" t="s">
        <v>137</v>
      </c>
    </row>
    <row r="5" customFormat="false" ht="15" hidden="false" customHeight="true" outlineLevel="0" collapsed="false">
      <c r="A5" s="11" t="s">
        <v>138</v>
      </c>
      <c r="B5" s="12" t="n">
        <v>1772552.58</v>
      </c>
      <c r="C5" s="8" t="n">
        <v>2029537.58</v>
      </c>
      <c r="D5" s="8" t="n">
        <v>1055780</v>
      </c>
      <c r="E5" s="8" t="n">
        <v>179065</v>
      </c>
      <c r="F5" s="8" t="n">
        <v>80775</v>
      </c>
      <c r="G5" s="31" t="n">
        <f aca="false">B5/F5</f>
        <v>21.944321634169</v>
      </c>
      <c r="H5" s="31" t="n">
        <f aca="false">C5/E5</f>
        <v>11.3340830424706</v>
      </c>
      <c r="I5" s="31" t="n">
        <f aca="false">C5/D5</f>
        <v>1.92231106859384</v>
      </c>
      <c r="J5" s="32" t="n">
        <v>0.0925</v>
      </c>
    </row>
    <row r="6" customFormat="false" ht="15" hidden="false" customHeight="true" outlineLevel="0" collapsed="false">
      <c r="A6" s="7" t="s">
        <v>139</v>
      </c>
      <c r="B6" s="33" t="n">
        <v>263909</v>
      </c>
      <c r="C6" s="33" t="n">
        <v>347728</v>
      </c>
      <c r="D6" s="33" t="n">
        <v>97895</v>
      </c>
      <c r="E6" s="33" t="n">
        <v>14252</v>
      </c>
      <c r="F6" s="33" t="n">
        <v>8005</v>
      </c>
      <c r="G6" s="34" t="n">
        <f aca="false">B6/F6</f>
        <v>32.9680199875078</v>
      </c>
      <c r="H6" s="34" t="n">
        <f aca="false">C6/E6</f>
        <v>24.3985405557115</v>
      </c>
      <c r="I6" s="34" t="n">
        <f aca="false">C6/D6</f>
        <v>3.55205066653047</v>
      </c>
      <c r="J6" s="35" t="n">
        <v>0.0982</v>
      </c>
    </row>
    <row r="7" customFormat="false" ht="15" hidden="false" customHeight="true" outlineLevel="0" collapsed="false">
      <c r="A7" s="7" t="s">
        <v>140</v>
      </c>
      <c r="B7" s="33" t="n">
        <v>266787</v>
      </c>
      <c r="C7" s="33" t="n">
        <v>303327</v>
      </c>
      <c r="D7" s="33" t="n">
        <v>439695</v>
      </c>
      <c r="E7" s="33" t="n">
        <v>56138</v>
      </c>
      <c r="F7" s="33" t="n">
        <v>28149</v>
      </c>
      <c r="G7" s="34" t="n">
        <f aca="false">B7/F7</f>
        <v>9.47767238623042</v>
      </c>
      <c r="H7" s="34" t="n">
        <f aca="false">C7/E7</f>
        <v>5.40323844811002</v>
      </c>
      <c r="I7" s="34" t="n">
        <f aca="false">C7/D7</f>
        <v>0.689857742298639</v>
      </c>
      <c r="J7" s="35" t="n">
        <v>0.236</v>
      </c>
    </row>
    <row r="8" customFormat="false" ht="15" hidden="false" customHeight="true" outlineLevel="0" collapsed="false">
      <c r="A8" s="7" t="s">
        <v>141</v>
      </c>
      <c r="B8" s="33" t="n">
        <v>535675</v>
      </c>
      <c r="C8" s="33" t="n">
        <v>613279</v>
      </c>
      <c r="D8" s="33" t="n">
        <v>255734</v>
      </c>
      <c r="E8" s="33" t="n">
        <v>34427</v>
      </c>
      <c r="F8" s="33" t="n">
        <v>17673</v>
      </c>
      <c r="G8" s="34" t="n">
        <f aca="false">B8/F8</f>
        <v>30.3103604368245</v>
      </c>
      <c r="H8" s="34" t="n">
        <f aca="false">C8/E8</f>
        <v>17.8138960699451</v>
      </c>
      <c r="I8" s="34" t="n">
        <f aca="false">C8/D8</f>
        <v>2.39811288291741</v>
      </c>
      <c r="J8" s="35" t="n">
        <v>0.159</v>
      </c>
    </row>
    <row r="9" customFormat="false" ht="15" hidden="false" customHeight="true" outlineLevel="0" collapsed="false">
      <c r="A9" s="7" t="s">
        <v>142</v>
      </c>
      <c r="B9" s="33" t="n">
        <v>1113302</v>
      </c>
      <c r="C9" s="33" t="n">
        <v>1308944</v>
      </c>
      <c r="D9" s="33" t="n">
        <v>172985</v>
      </c>
      <c r="E9" s="33" t="n">
        <v>85060</v>
      </c>
      <c r="F9" s="33" t="n">
        <v>37481</v>
      </c>
      <c r="G9" s="34" t="n">
        <f aca="false">B9/F9</f>
        <v>29.7031029054721</v>
      </c>
      <c r="H9" s="34" t="n">
        <f aca="false">C9/E9</f>
        <v>15.3884787209029</v>
      </c>
      <c r="I9" s="34" t="n">
        <f aca="false">C9/D9</f>
        <v>7.56680637049455</v>
      </c>
      <c r="J9" s="35" t="n">
        <v>0.232</v>
      </c>
    </row>
    <row r="10" customFormat="false" ht="15" hidden="false" customHeight="true" outlineLevel="0" collapsed="false">
      <c r="A10" s="7" t="s">
        <v>143</v>
      </c>
      <c r="B10" s="33" t="n">
        <v>355462</v>
      </c>
      <c r="C10" s="33" t="n">
        <v>321027</v>
      </c>
      <c r="D10" s="33" t="n">
        <v>75323</v>
      </c>
      <c r="E10" s="33" t="n">
        <v>25839</v>
      </c>
      <c r="F10" s="33" t="n">
        <v>20104</v>
      </c>
      <c r="G10" s="34" t="n">
        <f aca="false">B10/F10</f>
        <v>17.6811579785117</v>
      </c>
      <c r="H10" s="34" t="n">
        <f aca="false">C10/E10</f>
        <v>12.424126320678</v>
      </c>
      <c r="I10" s="34" t="n">
        <f aca="false">C10/D10</f>
        <v>4.26200496528285</v>
      </c>
      <c r="J10" s="35" t="n">
        <v>0.293</v>
      </c>
    </row>
    <row r="12" customFormat="false" ht="15" hidden="false" customHeight="true" outlineLevel="0" collapsed="false">
      <c r="A12" s="11" t="s">
        <v>144</v>
      </c>
      <c r="B12" s="36" t="n">
        <f aca="false">MEDIAN(B6:B10)</f>
        <v>355462</v>
      </c>
      <c r="C12" s="36" t="n">
        <f aca="false">MEDIAN(C6:C10)</f>
        <v>347728</v>
      </c>
      <c r="D12" s="36" t="n">
        <f aca="false">MEDIAN(D6:D10)</f>
        <v>172985</v>
      </c>
      <c r="E12" s="36" t="n">
        <f aca="false">MEDIAN(E6:E10)</f>
        <v>34427</v>
      </c>
      <c r="F12" s="36" t="n">
        <f aca="false">MEDIAN(F6:F10)</f>
        <v>20104</v>
      </c>
      <c r="G12" s="37" t="n">
        <f aca="false">MEDIAN(G6:G10)</f>
        <v>29.7031029054721</v>
      </c>
      <c r="H12" s="37" t="n">
        <f aca="false">MEDIAN(H6:H10)</f>
        <v>15.3884787209029</v>
      </c>
      <c r="I12" s="37" t="n">
        <f aca="false">MEDIAN(I6:I10)</f>
        <v>3.55205066653047</v>
      </c>
      <c r="J12" s="32" t="n">
        <f aca="false">MEDIAN(J6:J10)</f>
        <v>0.232</v>
      </c>
    </row>
    <row r="13" customFormat="false" ht="27.75" hidden="false" customHeight="true" outlineLevel="0" collapsed="false">
      <c r="A13" s="30" t="s">
        <v>145</v>
      </c>
      <c r="B13" s="30"/>
      <c r="C13" s="30"/>
      <c r="D13" s="30"/>
      <c r="E13" s="30"/>
      <c r="F13" s="30"/>
      <c r="G13" s="30"/>
      <c r="H13" s="30"/>
      <c r="I13" s="30"/>
      <c r="J13" s="30"/>
    </row>
  </sheetData>
  <mergeCells count="3">
    <mergeCell ref="A1:J1"/>
    <mergeCell ref="A2:J2"/>
    <mergeCell ref="A13:J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11" min="2" style="1" width="12"/>
  </cols>
  <sheetData>
    <row r="1" customFormat="false" ht="15" hidden="false" customHeight="true" outlineLevel="0" collapsed="false">
      <c r="A1" s="2" t="s">
        <v>146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5" t="s">
        <v>147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" hidden="false" customHeight="true" outlineLevel="0" collapsed="false">
      <c r="A4" s="6" t="s">
        <v>148</v>
      </c>
      <c r="B4" s="6" t="s">
        <v>149</v>
      </c>
      <c r="C4" s="6" t="s">
        <v>150</v>
      </c>
      <c r="D4" s="6" t="s">
        <v>151</v>
      </c>
      <c r="E4" s="6" t="s">
        <v>152</v>
      </c>
      <c r="F4" s="6" t="s">
        <v>153</v>
      </c>
      <c r="G4" s="6" t="s">
        <v>154</v>
      </c>
      <c r="H4" s="6" t="s">
        <v>155</v>
      </c>
      <c r="I4" s="6" t="s">
        <v>156</v>
      </c>
      <c r="J4" s="6" t="s">
        <v>157</v>
      </c>
    </row>
    <row r="5" customFormat="false" ht="15" hidden="false" customHeight="true" outlineLevel="0" collapsed="false">
      <c r="A5" s="38" t="s">
        <v>158</v>
      </c>
      <c r="B5" s="13" t="n">
        <v>-17239.7</v>
      </c>
      <c r="C5" s="13" t="n">
        <v>-17190.4</v>
      </c>
      <c r="D5" s="13" t="n">
        <v>-17131.3</v>
      </c>
      <c r="E5" s="13" t="n">
        <v>-17059</v>
      </c>
      <c r="F5" s="13" t="n">
        <v>-16968.6</v>
      </c>
      <c r="G5" s="13" t="n">
        <v>-16852.4</v>
      </c>
      <c r="H5" s="13" t="n">
        <v>-16697.5</v>
      </c>
      <c r="I5" s="13" t="n">
        <v>-16480.6</v>
      </c>
      <c r="J5" s="13" t="n">
        <v>-16155.3</v>
      </c>
    </row>
    <row r="6" customFormat="false" ht="15" hidden="false" customHeight="true" outlineLevel="0" collapsed="false">
      <c r="A6" s="38" t="s">
        <v>159</v>
      </c>
      <c r="B6" s="13" t="n">
        <v>-17405.8</v>
      </c>
      <c r="C6" s="13" t="n">
        <v>-17368.2</v>
      </c>
      <c r="D6" s="13" t="n">
        <v>-17323.8</v>
      </c>
      <c r="E6" s="13" t="n">
        <v>-17270.5</v>
      </c>
      <c r="F6" s="13" t="n">
        <v>-17205.3</v>
      </c>
      <c r="G6" s="13" t="n">
        <v>-17123.9</v>
      </c>
      <c r="H6" s="13" t="n">
        <v>-17019.1</v>
      </c>
      <c r="I6" s="13" t="n">
        <v>-16879.5</v>
      </c>
      <c r="J6" s="13" t="n">
        <v>-16684</v>
      </c>
    </row>
    <row r="7" customFormat="false" ht="15" hidden="false" customHeight="true" outlineLevel="0" collapsed="false">
      <c r="A7" s="38" t="s">
        <v>160</v>
      </c>
      <c r="B7" s="13" t="n">
        <v>-17546.3</v>
      </c>
      <c r="C7" s="13" t="n">
        <v>-17517.2</v>
      </c>
      <c r="D7" s="13" t="n">
        <v>-17483.2</v>
      </c>
      <c r="E7" s="13" t="n">
        <v>-17443.1</v>
      </c>
      <c r="F7" s="13" t="n">
        <v>-17394.9</v>
      </c>
      <c r="G7" s="13" t="n">
        <v>-17336</v>
      </c>
      <c r="H7" s="13" t="n">
        <v>-17262.4</v>
      </c>
      <c r="I7" s="13" t="n">
        <v>-17167.8</v>
      </c>
      <c r="J7" s="13" t="n">
        <v>-17041.6</v>
      </c>
    </row>
    <row r="8" customFormat="false" ht="15" hidden="false" customHeight="true" outlineLevel="0" collapsed="false">
      <c r="A8" s="38" t="s">
        <v>161</v>
      </c>
      <c r="B8" s="13" t="n">
        <v>-17666.5</v>
      </c>
      <c r="C8" s="13" t="n">
        <v>-17643.6</v>
      </c>
      <c r="D8" s="13" t="n">
        <v>-17617.3</v>
      </c>
      <c r="E8" s="13" t="n">
        <v>-17586.5</v>
      </c>
      <c r="F8" s="13" t="n">
        <v>-17550.1</v>
      </c>
      <c r="G8" s="13" t="n">
        <v>-17506.5</v>
      </c>
      <c r="H8" s="13" t="n">
        <v>-17453.1</v>
      </c>
      <c r="I8" s="13" t="n">
        <v>-17386.4</v>
      </c>
      <c r="J8" s="13" t="n">
        <v>-17300.7</v>
      </c>
    </row>
    <row r="9" customFormat="false" ht="15" hidden="false" customHeight="true" outlineLevel="0" collapsed="false">
      <c r="A9" s="38" t="s">
        <v>162</v>
      </c>
      <c r="B9" s="13" t="n">
        <v>-17770.3</v>
      </c>
      <c r="C9" s="13" t="n">
        <v>-17752.2</v>
      </c>
      <c r="D9" s="13" t="n">
        <v>-17731.4</v>
      </c>
      <c r="E9" s="13" t="n">
        <v>-17707.5</v>
      </c>
      <c r="F9" s="13" t="n">
        <v>-17679.5</v>
      </c>
      <c r="G9" s="13" t="n">
        <v>-17646.5</v>
      </c>
      <c r="H9" s="13" t="n">
        <v>-17606.8</v>
      </c>
      <c r="I9" s="13" t="n">
        <v>-17558.4</v>
      </c>
      <c r="J9" s="13" t="n">
        <v>-17497.8</v>
      </c>
    </row>
    <row r="10" customFormat="false" ht="15" hidden="false" customHeight="true" outlineLevel="0" collapsed="false">
      <c r="A10" s="38" t="s">
        <v>163</v>
      </c>
      <c r="B10" s="13" t="n">
        <v>-17860.8</v>
      </c>
      <c r="C10" s="13" t="n">
        <v>-17846.2</v>
      </c>
      <c r="D10" s="13" t="n">
        <v>-17829.7</v>
      </c>
      <c r="E10" s="13" t="n">
        <v>-17810.8</v>
      </c>
      <c r="F10" s="13" t="n">
        <v>-17789</v>
      </c>
      <c r="G10" s="13" t="n">
        <v>-17763.5</v>
      </c>
      <c r="H10" s="13" t="n">
        <v>-17733.5</v>
      </c>
      <c r="I10" s="13" t="n">
        <v>-17697.4</v>
      </c>
      <c r="J10" s="13" t="n">
        <v>-17653.3</v>
      </c>
    </row>
    <row r="11" customFormat="false" ht="15" hidden="false" customHeight="true" outlineLevel="0" collapsed="false">
      <c r="A11" s="38" t="s">
        <v>164</v>
      </c>
      <c r="B11" s="13" t="n">
        <v>-17940.2</v>
      </c>
      <c r="C11" s="13" t="n">
        <v>-17928.4</v>
      </c>
      <c r="D11" s="13" t="n">
        <v>-17915.1</v>
      </c>
      <c r="E11" s="13" t="n">
        <v>-17900</v>
      </c>
      <c r="F11" s="13" t="n">
        <v>-17882.8</v>
      </c>
      <c r="G11" s="13" t="n">
        <v>-17862.9</v>
      </c>
      <c r="H11" s="13" t="n">
        <v>-17839.7</v>
      </c>
      <c r="I11" s="13" t="n">
        <v>-17812.3</v>
      </c>
      <c r="J11" s="13" t="n">
        <v>-17779.3</v>
      </c>
    </row>
    <row r="12" customFormat="false" ht="15" hidden="false" customHeight="true" outlineLevel="0" collapsed="false">
      <c r="A12" s="38" t="s">
        <v>165</v>
      </c>
      <c r="B12" s="13" t="n">
        <v>-18010.4</v>
      </c>
      <c r="C12" s="13" t="n">
        <v>-18000.7</v>
      </c>
      <c r="D12" s="13" t="n">
        <v>-17989.9</v>
      </c>
      <c r="E12" s="13" t="n">
        <v>-17977.8</v>
      </c>
      <c r="F12" s="13" t="n">
        <v>-17964</v>
      </c>
      <c r="G12" s="13" t="n">
        <v>-17948.2</v>
      </c>
      <c r="H12" s="13" t="n">
        <v>-17930</v>
      </c>
      <c r="I12" s="13" t="n">
        <v>-17908.8</v>
      </c>
      <c r="J12" s="13" t="n">
        <v>-17883.8</v>
      </c>
    </row>
    <row r="13" customFormat="false" ht="15" hidden="false" customHeight="true" outlineLevel="0" collapsed="false">
      <c r="A13" s="38" t="s">
        <v>166</v>
      </c>
      <c r="B13" s="13" t="n">
        <v>-18072.8</v>
      </c>
      <c r="C13" s="13" t="n">
        <v>-18064.9</v>
      </c>
      <c r="D13" s="13" t="n">
        <v>-18056</v>
      </c>
      <c r="E13" s="13" t="n">
        <v>-18046.1</v>
      </c>
      <c r="F13" s="13" t="n">
        <v>-18035</v>
      </c>
      <c r="G13" s="13" t="n">
        <v>-18022.3</v>
      </c>
      <c r="H13" s="13" t="n">
        <v>-18007.9</v>
      </c>
      <c r="I13" s="13" t="n">
        <v>-17991.3</v>
      </c>
      <c r="J13" s="13" t="n">
        <v>-17971.8</v>
      </c>
    </row>
    <row r="15" customFormat="false" ht="34.5" hidden="false" customHeight="true" outlineLevel="0" collapsed="false">
      <c r="A15" s="30" t="s">
        <v>167</v>
      </c>
      <c r="B15" s="30"/>
      <c r="C15" s="30"/>
      <c r="D15" s="30"/>
      <c r="E15" s="30"/>
      <c r="F15" s="30"/>
      <c r="G15" s="30"/>
      <c r="H15" s="30"/>
      <c r="I15" s="30"/>
      <c r="J15" s="30"/>
    </row>
  </sheetData>
  <mergeCells count="3">
    <mergeCell ref="A1:J1"/>
    <mergeCell ref="A2:J2"/>
    <mergeCell ref="A15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2026-06-19T16:07:07Z</dcterms:created>
  <dc:creator>openpyxl</dc:creator>
  <dc:description/>
  <dc:language>en-US</dc:language>
  <cp:lastModifiedBy/>
  <dcterms:modified xsi:type="dcterms:W3CDTF">2026-06-19T16:41:18Z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